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gentbe-my.sharepoint.com/personal/kurt_blom_ugent_be/Documents/Privé/WnFc/"/>
    </mc:Choice>
  </mc:AlternateContent>
  <xr:revisionPtr revIDLastSave="1356" documentId="13_ncr:1_{E3DFD901-42F1-4DB7-A5DB-B33C46823696}" xr6:coauthVersionLast="47" xr6:coauthVersionMax="47" xr10:uidLastSave="{94425BA1-D550-402F-82B6-A05A6F09D232}"/>
  <bookViews>
    <workbookView xWindow="-120" yWindow="-120" windowWidth="29040" windowHeight="15720" tabRatio="972" xr2:uid="{00000000-000D-0000-FFFF-FFFF00000000}"/>
  </bookViews>
  <sheets>
    <sheet name="Totaal" sheetId="133" r:id="rId1"/>
    <sheet name="Afrekening" sheetId="318" state="hidden" r:id="rId2"/>
  </sheets>
  <functionGroups builtInGroupCount="19"/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318" l="1"/>
  <c r="O10" i="318"/>
  <c r="P10" i="318"/>
  <c r="N11" i="318"/>
  <c r="O11" i="318"/>
  <c r="P11" i="318"/>
  <c r="N12" i="318"/>
  <c r="O12" i="318"/>
  <c r="P12" i="318"/>
  <c r="N13" i="318"/>
  <c r="O13" i="318"/>
  <c r="P13" i="318"/>
  <c r="N14" i="318"/>
  <c r="O14" i="318"/>
  <c r="P14" i="318"/>
  <c r="N15" i="318"/>
  <c r="O15" i="318"/>
  <c r="P15" i="318"/>
  <c r="N16" i="318"/>
  <c r="O16" i="318"/>
  <c r="P16" i="318"/>
  <c r="N17" i="318"/>
  <c r="O17" i="318"/>
  <c r="P17" i="318"/>
  <c r="N18" i="318"/>
  <c r="O18" i="318"/>
  <c r="P18" i="318"/>
  <c r="N19" i="318"/>
  <c r="O19" i="318"/>
  <c r="P19" i="318"/>
  <c r="N20" i="318"/>
  <c r="O20" i="318"/>
  <c r="P20" i="318"/>
  <c r="N21" i="318"/>
  <c r="O21" i="318"/>
  <c r="P21" i="318"/>
  <c r="N22" i="318"/>
  <c r="O22" i="318"/>
  <c r="P22" i="318"/>
  <c r="N23" i="318"/>
  <c r="O23" i="318"/>
  <c r="P23" i="318"/>
  <c r="N24" i="318"/>
  <c r="O24" i="318"/>
  <c r="P24" i="318"/>
  <c r="N25" i="318"/>
  <c r="O25" i="318"/>
  <c r="P25" i="318"/>
  <c r="N26" i="318"/>
  <c r="O26" i="318"/>
  <c r="P26" i="318"/>
  <c r="N27" i="318"/>
  <c r="O27" i="318"/>
  <c r="P27" i="318"/>
  <c r="N28" i="318"/>
  <c r="O28" i="318"/>
  <c r="P28" i="318"/>
  <c r="N29" i="318"/>
  <c r="O29" i="318"/>
  <c r="P29" i="318"/>
  <c r="N30" i="318"/>
  <c r="O30" i="318"/>
  <c r="P30" i="318"/>
  <c r="N31" i="318"/>
  <c r="O31" i="318"/>
  <c r="P31" i="318"/>
  <c r="N32" i="318"/>
  <c r="O32" i="318"/>
  <c r="P32" i="318"/>
  <c r="N33" i="318"/>
  <c r="O33" i="318"/>
  <c r="P33" i="318"/>
  <c r="N34" i="318"/>
  <c r="O34" i="318"/>
  <c r="P34" i="318"/>
  <c r="N35" i="318"/>
  <c r="O35" i="318"/>
  <c r="P35" i="318"/>
  <c r="N36" i="318"/>
  <c r="O36" i="318"/>
  <c r="P36" i="318"/>
  <c r="N38" i="318"/>
  <c r="G45" i="318"/>
  <c r="A35" i="133"/>
  <c r="M19" i="133"/>
  <c r="M35" i="133"/>
  <c r="M33" i="133"/>
  <c r="M32" i="133"/>
  <c r="M31" i="133"/>
  <c r="M30" i="133"/>
  <c r="M29" i="133"/>
  <c r="M28" i="133"/>
  <c r="M27" i="133"/>
  <c r="M26" i="133"/>
  <c r="M25" i="133"/>
  <c r="M24" i="133"/>
  <c r="M23" i="133"/>
  <c r="M22" i="133"/>
  <c r="M21" i="133"/>
  <c r="M20" i="133"/>
  <c r="M18" i="133"/>
  <c r="M17" i="133"/>
  <c r="M16" i="133"/>
  <c r="M15" i="133"/>
  <c r="M14" i="133"/>
  <c r="M13" i="133"/>
  <c r="M12" i="133"/>
  <c r="M11" i="133"/>
  <c r="M10" i="133"/>
  <c r="M34" i="133"/>
  <c r="H35" i="318"/>
  <c r="H34" i="318"/>
  <c r="H33" i="318"/>
  <c r="H32" i="318"/>
  <c r="H31" i="318"/>
  <c r="H30" i="318"/>
  <c r="H29" i="318"/>
  <c r="H28" i="318"/>
  <c r="H27" i="318"/>
  <c r="H26" i="318"/>
  <c r="H25" i="318"/>
  <c r="H24" i="318"/>
  <c r="H23" i="318"/>
  <c r="H22" i="318"/>
  <c r="H21" i="318"/>
  <c r="H20" i="318"/>
  <c r="H19" i="318"/>
  <c r="H18" i="318"/>
  <c r="H17" i="318"/>
  <c r="H16" i="318"/>
  <c r="H15" i="318"/>
  <c r="H14" i="318"/>
  <c r="H13" i="318"/>
  <c r="H12" i="318"/>
  <c r="H11" i="318"/>
  <c r="H10" i="318"/>
  <c r="G47" i="318"/>
  <c r="B35" i="318"/>
  <c r="B34" i="318"/>
  <c r="B33" i="318"/>
  <c r="B32" i="318"/>
  <c r="B31" i="318"/>
  <c r="B30" i="318"/>
  <c r="B29" i="318"/>
  <c r="B28" i="318"/>
  <c r="B27" i="318"/>
  <c r="B26" i="318"/>
  <c r="B25" i="318"/>
  <c r="B24" i="318"/>
  <c r="B23" i="318"/>
  <c r="B22" i="318"/>
  <c r="B21" i="318"/>
  <c r="B20" i="318"/>
  <c r="B19" i="318"/>
  <c r="B18" i="318"/>
  <c r="B17" i="318"/>
  <c r="B16" i="318"/>
  <c r="B15" i="318"/>
  <c r="B14" i="318"/>
  <c r="B13" i="318"/>
  <c r="B12" i="318"/>
  <c r="B11" i="318"/>
  <c r="B10" i="318"/>
  <c r="B1" i="318"/>
  <c r="M38" i="133"/>
</calcChain>
</file>

<file path=xl/sharedStrings.xml><?xml version="1.0" encoding="utf-8"?>
<sst xmlns="http://schemas.openxmlformats.org/spreadsheetml/2006/main" count="48" uniqueCount="42">
  <si>
    <t>Pas hieronder alles aan en klik op 'Start'</t>
  </si>
  <si>
    <t>Navigeer naar:</t>
  </si>
  <si>
    <t>Naam Activiteit:</t>
  </si>
  <si>
    <t>Jaar:</t>
  </si>
  <si>
    <t>Gewenst aantal bladen:</t>
  </si>
  <si>
    <t>Totaal</t>
  </si>
  <si>
    <t>Dranken</t>
  </si>
  <si>
    <t>Prijs</t>
  </si>
  <si>
    <t>Aantal</t>
  </si>
  <si>
    <t>Glas Cava</t>
  </si>
  <si>
    <t xml:space="preserve">Aperitief Close-Up </t>
  </si>
  <si>
    <t>Glas witte wijn</t>
  </si>
  <si>
    <t>Glas rode wijn</t>
  </si>
  <si>
    <t>Fruitsap</t>
  </si>
  <si>
    <t>Plat water</t>
  </si>
  <si>
    <t>Bruisend water</t>
  </si>
  <si>
    <t>Cola</t>
  </si>
  <si>
    <t>Cola Zero</t>
  </si>
  <si>
    <t>Limonade</t>
  </si>
  <si>
    <t>Ice Tea</t>
  </si>
  <si>
    <t>Schweppes tonic</t>
  </si>
  <si>
    <t>Pils Jupiler</t>
  </si>
  <si>
    <t>Jupiler 0,0%</t>
  </si>
  <si>
    <t>Kriek Lindemans</t>
  </si>
  <si>
    <t>Adriaan brouwer</t>
  </si>
  <si>
    <t>Ename blond</t>
  </si>
  <si>
    <t>Ename bruin</t>
  </si>
  <si>
    <t>Quintine blond</t>
  </si>
  <si>
    <t>Rebelse Strop</t>
  </si>
  <si>
    <t>Fles cava</t>
  </si>
  <si>
    <t>Fles rode wijn</t>
  </si>
  <si>
    <t>Fles Witte wijn</t>
  </si>
  <si>
    <t>Koffie/thee</t>
  </si>
  <si>
    <t>Naam:</t>
  </si>
  <si>
    <t>Telefoon / Email:</t>
  </si>
  <si>
    <t>Totaal te betalen</t>
  </si>
  <si>
    <t>Afrekening</t>
  </si>
  <si>
    <t>Ontvangen</t>
  </si>
  <si>
    <t>Te betalen</t>
  </si>
  <si>
    <t>Totaal terug te geven</t>
  </si>
  <si>
    <t>Aantal geregistreerd:</t>
  </si>
  <si>
    <t>Aantal afgerekend: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</si>
</sst>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[$€-813]_-;\-* #,##0.00\ [$€-813]_-;_-* &quot;-&quot;??\ [$€-813]_-;_-@_-"/>
    <numFmt numFmtId="165" formatCode="&quot;€&quot;\ #,##0.00"/>
  </numFmts>
  <fonts count="1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rgb="FF006100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rgb="FF000000"/>
      <name val="Calibri"/>
      <family val="2"/>
    </font>
    <font>
      <b/>
      <sz val="18"/>
      <color rgb="FFFF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51">
    <xf numFmtId="0" fontId="0" fillId="0" borderId="0" xfId="0"/>
    <xf numFmtId="0" fontId="0" fillId="0" borderId="4" xfId="0" applyBorder="1"/>
    <xf numFmtId="0" fontId="0" fillId="0" borderId="2" xfId="0" applyBorder="1"/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6" borderId="39" xfId="0" applyFill="1" applyBorder="1" applyAlignment="1">
      <alignment vertical="center"/>
    </xf>
    <xf numFmtId="0" fontId="0" fillId="6" borderId="40" xfId="0" applyFill="1" applyBorder="1"/>
    <xf numFmtId="0" fontId="0" fillId="6" borderId="0" xfId="0" applyFill="1"/>
    <xf numFmtId="0" fontId="0" fillId="6" borderId="26" xfId="0" applyFill="1" applyBorder="1" applyAlignment="1">
      <alignment vertical="center"/>
    </xf>
    <xf numFmtId="0" fontId="0" fillId="6" borderId="23" xfId="0" applyFill="1" applyBorder="1"/>
    <xf numFmtId="0" fontId="0" fillId="6" borderId="41" xfId="0" applyFill="1" applyBorder="1"/>
    <xf numFmtId="0" fontId="9" fillId="4" borderId="42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5" fillId="0" borderId="29" xfId="0" applyFont="1" applyBorder="1" applyAlignment="1" applyProtection="1">
      <alignment horizontal="left" vertical="center"/>
      <protection locked="0"/>
    </xf>
    <xf numFmtId="0" fontId="5" fillId="0" borderId="13" xfId="0" applyFont="1" applyBorder="1" applyAlignment="1" applyProtection="1">
      <alignment horizontal="left" vertical="center"/>
      <protection locked="0"/>
    </xf>
    <xf numFmtId="164" fontId="5" fillId="0" borderId="13" xfId="0" applyNumberFormat="1" applyFont="1" applyBorder="1" applyAlignment="1" applyProtection="1">
      <alignment vertical="center"/>
      <protection locked="0"/>
    </xf>
    <xf numFmtId="0" fontId="5" fillId="0" borderId="13" xfId="0" applyFont="1" applyBorder="1" applyAlignment="1">
      <alignment horizontal="center" vertical="center"/>
    </xf>
    <xf numFmtId="165" fontId="5" fillId="4" borderId="13" xfId="0" applyNumberFormat="1" applyFont="1" applyFill="1" applyBorder="1" applyAlignment="1">
      <alignment horizontal="center" vertical="center"/>
    </xf>
    <xf numFmtId="165" fontId="5" fillId="4" borderId="30" xfId="0" applyNumberFormat="1" applyFont="1" applyFill="1" applyBorder="1" applyAlignment="1">
      <alignment horizontal="center" vertical="center"/>
    </xf>
    <xf numFmtId="0" fontId="5" fillId="0" borderId="32" xfId="0" applyFont="1" applyBorder="1" applyAlignment="1" applyProtection="1">
      <alignment horizontal="left" vertical="center"/>
      <protection locked="0"/>
    </xf>
    <xf numFmtId="0" fontId="5" fillId="0" borderId="15" xfId="0" applyFont="1" applyBorder="1" applyAlignment="1" applyProtection="1">
      <alignment horizontal="left" vertical="center"/>
      <protection locked="0"/>
    </xf>
    <xf numFmtId="0" fontId="5" fillId="0" borderId="16" xfId="0" applyFont="1" applyBorder="1" applyAlignment="1" applyProtection="1">
      <alignment horizontal="left" vertical="center"/>
      <protection locked="0"/>
    </xf>
    <xf numFmtId="164" fontId="5" fillId="0" borderId="14" xfId="0" applyNumberFormat="1" applyFont="1" applyBorder="1" applyAlignment="1" applyProtection="1">
      <alignment horizontal="right" vertical="center"/>
      <protection locked="0"/>
    </xf>
    <xf numFmtId="164" fontId="5" fillId="0" borderId="15" xfId="0" applyNumberFormat="1" applyFont="1" applyBorder="1" applyAlignment="1" applyProtection="1">
      <alignment horizontal="right" vertical="center"/>
      <protection locked="0"/>
    </xf>
    <xf numFmtId="164" fontId="5" fillId="0" borderId="16" xfId="0" applyNumberFormat="1" applyFont="1" applyBorder="1" applyAlignment="1" applyProtection="1">
      <alignment horizontal="right" vertical="center"/>
      <protection locked="0"/>
    </xf>
    <xf numFmtId="0" fontId="10" fillId="5" borderId="35" xfId="0" applyFont="1" applyFill="1" applyBorder="1" applyAlignment="1">
      <alignment horizontal="center" vertical="center"/>
    </xf>
    <xf numFmtId="0" fontId="10" fillId="5" borderId="3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4" borderId="29" xfId="0" applyFont="1" applyFill="1" applyBorder="1" applyAlignment="1" applyProtection="1">
      <alignment horizontal="left" vertical="center"/>
      <protection locked="0"/>
    </xf>
    <xf numFmtId="0" fontId="5" fillId="4" borderId="13" xfId="0" applyFont="1" applyFill="1" applyBorder="1" applyAlignment="1" applyProtection="1">
      <alignment horizontal="left" vertical="center"/>
      <protection locked="0"/>
    </xf>
    <xf numFmtId="164" fontId="5" fillId="4" borderId="13" xfId="0" applyNumberFormat="1" applyFont="1" applyFill="1" applyBorder="1" applyAlignment="1" applyProtection="1">
      <alignment vertical="center"/>
      <protection locked="0"/>
    </xf>
    <xf numFmtId="0" fontId="5" fillId="4" borderId="13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3" borderId="17" xfId="0" applyFont="1" applyFill="1" applyBorder="1" applyAlignment="1">
      <alignment horizontal="left" vertical="center"/>
    </xf>
    <xf numFmtId="0" fontId="5" fillId="0" borderId="21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4" borderId="29" xfId="0" applyFont="1" applyFill="1" applyBorder="1" applyAlignment="1">
      <alignment horizontal="left" vertical="center"/>
    </xf>
    <xf numFmtId="0" fontId="5" fillId="4" borderId="13" xfId="0" applyFont="1" applyFill="1" applyBorder="1" applyAlignment="1">
      <alignment horizontal="left" vertical="center"/>
    </xf>
    <xf numFmtId="164" fontId="5" fillId="4" borderId="13" xfId="0" applyNumberFormat="1" applyFont="1" applyFill="1" applyBorder="1" applyAlignment="1">
      <alignment vertical="center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164" fontId="5" fillId="4" borderId="13" xfId="0" applyNumberFormat="1" applyFont="1" applyFill="1" applyBorder="1" applyAlignment="1">
      <alignment horizontal="right" vertical="center"/>
    </xf>
    <xf numFmtId="164" fontId="5" fillId="4" borderId="30" xfId="0" applyNumberFormat="1" applyFont="1" applyFill="1" applyBorder="1" applyAlignment="1">
      <alignment horizontal="right" vertical="center"/>
    </xf>
    <xf numFmtId="0" fontId="5" fillId="4" borderId="14" xfId="0" applyFont="1" applyFill="1" applyBorder="1" applyAlignment="1" applyProtection="1">
      <alignment horizontal="center" vertical="center"/>
      <protection locked="0"/>
    </xf>
    <xf numFmtId="0" fontId="5" fillId="4" borderId="15" xfId="0" applyFont="1" applyFill="1" applyBorder="1" applyAlignment="1" applyProtection="1">
      <alignment horizontal="center" vertical="center"/>
      <protection locked="0"/>
    </xf>
    <xf numFmtId="0" fontId="5" fillId="4" borderId="16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5" fillId="0" borderId="14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165" fontId="5" fillId="0" borderId="25" xfId="0" applyNumberFormat="1" applyFont="1" applyBorder="1" applyAlignment="1" applyProtection="1">
      <alignment horizontal="center" vertical="center"/>
      <protection locked="0"/>
    </xf>
    <xf numFmtId="165" fontId="5" fillId="0" borderId="2" xfId="0" applyNumberFormat="1" applyFont="1" applyBorder="1" applyAlignment="1" applyProtection="1">
      <alignment horizontal="center" vertical="center"/>
      <protection locked="0"/>
    </xf>
    <xf numFmtId="165" fontId="5" fillId="0" borderId="3" xfId="0" applyNumberFormat="1" applyFont="1" applyBorder="1" applyAlignment="1" applyProtection="1">
      <alignment horizontal="center" vertical="center"/>
      <protection locked="0"/>
    </xf>
    <xf numFmtId="165" fontId="5" fillId="0" borderId="26" xfId="0" applyNumberFormat="1" applyFont="1" applyBorder="1" applyAlignment="1" applyProtection="1">
      <alignment horizontal="center" vertical="center"/>
      <protection locked="0"/>
    </xf>
    <xf numFmtId="165" fontId="5" fillId="0" borderId="23" xfId="0" applyNumberFormat="1" applyFont="1" applyBorder="1" applyAlignment="1" applyProtection="1">
      <alignment horizontal="center" vertical="center"/>
      <protection locked="0"/>
    </xf>
    <xf numFmtId="165" fontId="5" fillId="0" borderId="24" xfId="0" applyNumberFormat="1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165" fontId="5" fillId="0" borderId="27" xfId="0" applyNumberFormat="1" applyFont="1" applyBorder="1" applyAlignment="1">
      <alignment horizontal="center" vertical="center"/>
    </xf>
    <xf numFmtId="165" fontId="5" fillId="0" borderId="20" xfId="0" applyNumberFormat="1" applyFont="1" applyBorder="1" applyAlignment="1">
      <alignment horizontal="center" vertical="center"/>
    </xf>
    <xf numFmtId="165" fontId="5" fillId="0" borderId="18" xfId="0" applyNumberFormat="1" applyFont="1" applyBorder="1" applyAlignment="1">
      <alignment horizontal="center" vertical="center"/>
    </xf>
    <xf numFmtId="165" fontId="5" fillId="0" borderId="17" xfId="0" applyNumberFormat="1" applyFont="1" applyBorder="1" applyAlignment="1">
      <alignment horizontal="center" vertical="center"/>
    </xf>
    <xf numFmtId="165" fontId="5" fillId="3" borderId="0" xfId="0" applyNumberFormat="1" applyFont="1" applyFill="1" applyAlignment="1">
      <alignment horizontal="center" vertical="center"/>
    </xf>
    <xf numFmtId="165" fontId="5" fillId="3" borderId="5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165" fontId="5" fillId="3" borderId="8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7" fillId="7" borderId="2" xfId="0" applyFont="1" applyFill="1" applyBorder="1" applyAlignment="1" applyProtection="1">
      <alignment horizontal="center" vertical="center"/>
      <protection locked="0"/>
    </xf>
    <xf numFmtId="0" fontId="7" fillId="7" borderId="3" xfId="0" applyFont="1" applyFill="1" applyBorder="1" applyAlignment="1" applyProtection="1">
      <alignment horizontal="center" vertical="center"/>
      <protection locked="0"/>
    </xf>
    <xf numFmtId="0" fontId="3" fillId="7" borderId="2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7" fillId="7" borderId="6" xfId="0" applyFont="1" applyFill="1" applyBorder="1" applyAlignment="1" applyProtection="1">
      <alignment horizontal="center" vertical="center"/>
      <protection locked="0"/>
    </xf>
    <xf numFmtId="0" fontId="7" fillId="7" borderId="7" xfId="0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 applyProtection="1">
      <alignment horizontal="center" vertical="center"/>
      <protection locked="0"/>
    </xf>
    <xf numFmtId="0" fontId="3" fillId="7" borderId="7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8" borderId="28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0" fontId="5" fillId="9" borderId="29" xfId="0" applyFont="1" applyFill="1" applyBorder="1" applyAlignment="1">
      <alignment horizontal="left" vertical="center"/>
    </xf>
    <xf numFmtId="0" fontId="5" fillId="9" borderId="13" xfId="0" applyFont="1" applyFill="1" applyBorder="1" applyAlignment="1">
      <alignment horizontal="left" vertical="center"/>
    </xf>
    <xf numFmtId="164" fontId="5" fillId="9" borderId="13" xfId="0" applyNumberFormat="1" applyFont="1" applyFill="1" applyBorder="1" applyAlignment="1">
      <alignment vertical="center"/>
    </xf>
    <xf numFmtId="0" fontId="5" fillId="9" borderId="13" xfId="0" applyFont="1" applyFill="1" applyBorder="1" applyAlignment="1" applyProtection="1">
      <alignment horizontal="center" vertical="center"/>
      <protection locked="0"/>
    </xf>
    <xf numFmtId="164" fontId="5" fillId="9" borderId="13" xfId="0" applyNumberFormat="1" applyFont="1" applyFill="1" applyBorder="1" applyAlignment="1">
      <alignment horizontal="right" vertical="center"/>
    </xf>
    <xf numFmtId="164" fontId="5" fillId="9" borderId="30" xfId="0" applyNumberFormat="1" applyFont="1" applyFill="1" applyBorder="1" applyAlignment="1">
      <alignment horizontal="right" vertical="center"/>
    </xf>
    <xf numFmtId="0" fontId="5" fillId="9" borderId="14" xfId="0" applyFont="1" applyFill="1" applyBorder="1" applyAlignment="1" applyProtection="1">
      <alignment horizontal="center" vertical="center"/>
      <protection locked="0"/>
    </xf>
    <xf numFmtId="0" fontId="5" fillId="9" borderId="15" xfId="0" applyFont="1" applyFill="1" applyBorder="1" applyAlignment="1" applyProtection="1">
      <alignment horizontal="center" vertical="center"/>
      <protection locked="0"/>
    </xf>
    <xf numFmtId="0" fontId="5" fillId="9" borderId="16" xfId="0" applyFont="1" applyFill="1" applyBorder="1" applyAlignment="1" applyProtection="1">
      <alignment horizontal="center" vertical="center"/>
      <protection locked="0"/>
    </xf>
    <xf numFmtId="0" fontId="5" fillId="9" borderId="31" xfId="0" applyFont="1" applyFill="1" applyBorder="1" applyAlignment="1">
      <alignment horizontal="left" vertical="center"/>
    </xf>
    <xf numFmtId="0" fontId="5" fillId="9" borderId="11" xfId="0" applyFont="1" applyFill="1" applyBorder="1" applyAlignment="1">
      <alignment horizontal="left" vertical="center"/>
    </xf>
    <xf numFmtId="164" fontId="5" fillId="9" borderId="11" xfId="0" applyNumberFormat="1" applyFont="1" applyFill="1" applyBorder="1" applyAlignment="1">
      <alignment vertical="center"/>
    </xf>
    <xf numFmtId="0" fontId="2" fillId="8" borderId="1" xfId="0" applyFont="1" applyFill="1" applyBorder="1" applyAlignment="1">
      <alignment horizontal="left" vertical="center"/>
    </xf>
    <xf numFmtId="0" fontId="2" fillId="8" borderId="2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center"/>
    </xf>
    <xf numFmtId="0" fontId="2" fillId="8" borderId="6" xfId="0" applyFont="1" applyFill="1" applyBorder="1" applyAlignment="1">
      <alignment horizontal="left" vertical="center"/>
    </xf>
    <xf numFmtId="0" fontId="2" fillId="8" borderId="7" xfId="0" applyFont="1" applyFill="1" applyBorder="1" applyAlignment="1">
      <alignment horizontal="left" vertical="center"/>
    </xf>
    <xf numFmtId="0" fontId="2" fillId="8" borderId="8" xfId="0" applyFont="1" applyFill="1" applyBorder="1" applyAlignment="1">
      <alignment horizontal="left" vertical="center"/>
    </xf>
    <xf numFmtId="164" fontId="6" fillId="3" borderId="1" xfId="1" applyNumberFormat="1" applyFont="1" applyFill="1" applyBorder="1" applyAlignment="1" applyProtection="1">
      <alignment horizontal="center" vertical="center"/>
    </xf>
    <xf numFmtId="164" fontId="6" fillId="3" borderId="2" xfId="1" applyNumberFormat="1" applyFont="1" applyFill="1" applyBorder="1" applyAlignment="1" applyProtection="1">
      <alignment horizontal="center" vertical="center"/>
    </xf>
    <xf numFmtId="164" fontId="6" fillId="3" borderId="3" xfId="1" applyNumberFormat="1" applyFont="1" applyFill="1" applyBorder="1" applyAlignment="1" applyProtection="1">
      <alignment horizontal="center" vertical="center"/>
    </xf>
    <xf numFmtId="164" fontId="6" fillId="3" borderId="6" xfId="1" applyNumberFormat="1" applyFont="1" applyFill="1" applyBorder="1" applyAlignment="1" applyProtection="1">
      <alignment horizontal="center" vertical="center"/>
    </xf>
    <xf numFmtId="164" fontId="6" fillId="3" borderId="7" xfId="1" applyNumberFormat="1" applyFont="1" applyFill="1" applyBorder="1" applyAlignment="1" applyProtection="1">
      <alignment horizontal="center" vertical="center"/>
    </xf>
    <xf numFmtId="164" fontId="6" fillId="3" borderId="8" xfId="1" applyNumberFormat="1" applyFont="1" applyFill="1" applyBorder="1" applyAlignment="1" applyProtection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4" fillId="8" borderId="33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165" fontId="6" fillId="3" borderId="1" xfId="1" applyNumberFormat="1" applyFont="1" applyFill="1" applyBorder="1" applyAlignment="1" applyProtection="1">
      <alignment horizontal="center" vertical="center"/>
    </xf>
    <xf numFmtId="165" fontId="6" fillId="3" borderId="2" xfId="1" applyNumberFormat="1" applyFont="1" applyFill="1" applyBorder="1" applyAlignment="1" applyProtection="1">
      <alignment horizontal="center" vertical="center"/>
    </xf>
    <xf numFmtId="165" fontId="6" fillId="3" borderId="3" xfId="1" applyNumberFormat="1" applyFont="1" applyFill="1" applyBorder="1" applyAlignment="1" applyProtection="1">
      <alignment horizontal="center" vertical="center"/>
    </xf>
    <xf numFmtId="165" fontId="6" fillId="3" borderId="6" xfId="1" applyNumberFormat="1" applyFont="1" applyFill="1" applyBorder="1" applyAlignment="1" applyProtection="1">
      <alignment horizontal="center" vertical="center"/>
    </xf>
    <xf numFmtId="165" fontId="6" fillId="3" borderId="7" xfId="1" applyNumberFormat="1" applyFont="1" applyFill="1" applyBorder="1" applyAlignment="1" applyProtection="1">
      <alignment horizontal="center" vertical="center"/>
    </xf>
    <xf numFmtId="165" fontId="6" fillId="3" borderId="8" xfId="1" applyNumberFormat="1" applyFont="1" applyFill="1" applyBorder="1" applyAlignment="1" applyProtection="1">
      <alignment horizontal="center" vertical="center"/>
    </xf>
    <xf numFmtId="0" fontId="5" fillId="9" borderId="31" xfId="0" applyFont="1" applyFill="1" applyBorder="1" applyAlignment="1" applyProtection="1">
      <alignment horizontal="left" vertical="center"/>
      <protection locked="0"/>
    </xf>
    <xf numFmtId="0" fontId="5" fillId="9" borderId="11" xfId="0" applyFont="1" applyFill="1" applyBorder="1" applyAlignment="1" applyProtection="1">
      <alignment horizontal="left" vertical="center"/>
      <protection locked="0"/>
    </xf>
    <xf numFmtId="164" fontId="5" fillId="9" borderId="11" xfId="0" applyNumberFormat="1" applyFont="1" applyFill="1" applyBorder="1" applyAlignment="1" applyProtection="1">
      <alignment vertical="center"/>
      <protection locked="0"/>
    </xf>
    <xf numFmtId="0" fontId="5" fillId="9" borderId="13" xfId="0" applyFont="1" applyFill="1" applyBorder="1" applyAlignment="1">
      <alignment horizontal="center" vertical="center"/>
    </xf>
    <xf numFmtId="165" fontId="5" fillId="9" borderId="13" xfId="0" applyNumberFormat="1" applyFont="1" applyFill="1" applyBorder="1" applyAlignment="1">
      <alignment horizontal="center" vertical="center"/>
    </xf>
    <xf numFmtId="165" fontId="5" fillId="9" borderId="30" xfId="0" applyNumberFormat="1" applyFont="1" applyFill="1" applyBorder="1" applyAlignment="1">
      <alignment horizontal="center" vertical="center"/>
    </xf>
    <xf numFmtId="0" fontId="5" fillId="9" borderId="29" xfId="0" applyFont="1" applyFill="1" applyBorder="1" applyAlignment="1" applyProtection="1">
      <alignment horizontal="left" vertical="center"/>
      <protection locked="0"/>
    </xf>
    <xf numFmtId="0" fontId="5" fillId="9" borderId="13" xfId="0" applyFont="1" applyFill="1" applyBorder="1" applyAlignment="1" applyProtection="1">
      <alignment horizontal="left" vertical="center"/>
      <protection locked="0"/>
    </xf>
    <xf numFmtId="164" fontId="5" fillId="9" borderId="13" xfId="0" applyNumberFormat="1" applyFont="1" applyFill="1" applyBorder="1" applyAlignment="1" applyProtection="1">
      <alignment vertical="center"/>
      <protection locked="0"/>
    </xf>
    <xf numFmtId="164" fontId="5" fillId="9" borderId="14" xfId="0" applyNumberFormat="1" applyFont="1" applyFill="1" applyBorder="1" applyAlignment="1" applyProtection="1">
      <alignment horizontal="right" vertical="center"/>
      <protection locked="0"/>
    </xf>
    <xf numFmtId="164" fontId="5" fillId="9" borderId="15" xfId="0" applyNumberFormat="1" applyFont="1" applyFill="1" applyBorder="1" applyAlignment="1" applyProtection="1">
      <alignment horizontal="right" vertical="center"/>
      <protection locked="0"/>
    </xf>
    <xf numFmtId="164" fontId="5" fillId="9" borderId="16" xfId="0" applyNumberFormat="1" applyFont="1" applyFill="1" applyBorder="1" applyAlignment="1" applyProtection="1">
      <alignment horizontal="right" vertical="center"/>
      <protection locked="0"/>
    </xf>
    <xf numFmtId="0" fontId="5" fillId="9" borderId="32" xfId="0" applyFont="1" applyFill="1" applyBorder="1" applyAlignment="1" applyProtection="1">
      <alignment horizontal="left" vertical="center"/>
      <protection locked="0"/>
    </xf>
    <xf numFmtId="0" fontId="5" fillId="9" borderId="15" xfId="0" applyFont="1" applyFill="1" applyBorder="1" applyAlignment="1" applyProtection="1">
      <alignment horizontal="left" vertical="center"/>
      <protection locked="0"/>
    </xf>
    <xf numFmtId="0" fontId="5" fillId="9" borderId="16" xfId="0" applyFont="1" applyFill="1" applyBorder="1" applyAlignment="1" applyProtection="1">
      <alignment horizontal="left" vertical="center"/>
      <protection locked="0"/>
    </xf>
  </cellXfs>
  <cellStyles count="2">
    <cellStyle name="Good" xfId="1" builtinId="26"/>
    <cellStyle name="Normal" xfId="0" builtinId="0"/>
  </cellStyles>
  <dxfs count="4"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</dxfs>
  <tableStyles count="2" defaultTableStyle="Tabelstijl 2" defaultPivotStyle="PivotStyleLight16">
    <tableStyle name="Tabelstijl 1" pivot="0" count="2" xr9:uid="{00000000-0011-0000-FFFF-FFFF00000000}">
      <tableStyleElement type="firstRowStripe" dxfId="3"/>
      <tableStyleElement type="secondRowStripe" dxfId="2"/>
    </tableStyle>
    <tableStyle name="Tabelstijl 2" pivot="0" count="2" xr9:uid="{00000000-0011-0000-FFFF-FFFF01000000}">
      <tableStyleElement type="firstRowStripe" dxfId="1"/>
      <tableStyleElement type="secondRowStripe" dxfId="0"/>
    </tableStyle>
  </tableStyles>
  <colors>
    <mruColors>
      <color rgb="FF66FF33"/>
      <color rgb="FF66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238125</xdr:rowOff>
        </xdr:from>
        <xdr:to>
          <xdr:col>13</xdr:col>
          <xdr:colOff>209550</xdr:colOff>
          <xdr:row>2</xdr:row>
          <xdr:rowOff>219075</xdr:rowOff>
        </xdr:to>
        <xdr:sp macro="" textlink="">
          <xdr:nvSpPr>
            <xdr:cNvPr id="4097" name="Button 1" descr="Pas de configuratie hiernaast aan en creëer nieuwe werkblade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BE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114300</xdr:rowOff>
        </xdr:from>
        <xdr:to>
          <xdr:col>13</xdr:col>
          <xdr:colOff>200025</xdr:colOff>
          <xdr:row>4</xdr:row>
          <xdr:rowOff>533400</xdr:rowOff>
        </xdr:to>
        <xdr:sp macro="" textlink="">
          <xdr:nvSpPr>
            <xdr:cNvPr id="4100" name="Button 4" descr="Maak ongedaan (reset)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8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390525</xdr:rowOff>
        </xdr:from>
        <xdr:to>
          <xdr:col>13</xdr:col>
          <xdr:colOff>200025</xdr:colOff>
          <xdr:row>3</xdr:row>
          <xdr:rowOff>314325</xdr:rowOff>
        </xdr:to>
        <xdr:sp macro="" textlink="">
          <xdr:nvSpPr>
            <xdr:cNvPr id="4101" name="Button 5" descr="Voeg extra werkbladen toe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BE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3</xdr:row>
          <xdr:rowOff>104775</xdr:rowOff>
        </xdr:from>
        <xdr:to>
          <xdr:col>15</xdr:col>
          <xdr:colOff>752475</xdr:colOff>
          <xdr:row>3</xdr:row>
          <xdr:rowOff>514350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E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601134</xdr:colOff>
          <xdr:row>39</xdr:row>
          <xdr:rowOff>191029</xdr:rowOff>
        </xdr:from>
        <xdr:to>
          <xdr:col>12</xdr:col>
          <xdr:colOff>317501</xdr:colOff>
          <xdr:row>42</xdr:row>
          <xdr:rowOff>158750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BE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26457</xdr:colOff>
          <xdr:row>0</xdr:row>
          <xdr:rowOff>92604</xdr:rowOff>
        </xdr:from>
        <xdr:to>
          <xdr:col>14</xdr:col>
          <xdr:colOff>391583</xdr:colOff>
          <xdr:row>2</xdr:row>
          <xdr:rowOff>92604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7DDB18AC-96D2-3769-D9B5-9EAE91BD5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BE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1EFD6-C8C8-4CD6-953F-E8DF9F10153C}">
  <sheetPr codeName="Blad130"/>
  <dimension ref="A1:V39"/>
  <sheetViews>
    <sheetView tabSelected="1" zoomScale="80" zoomScaleNormal="80" workbookViewId="0">
      <selection activeCell="B3" sqref="B3:J3"/>
    </sheetView>
  </sheetViews>
  <sheetFormatPr defaultColWidth="8.85546875" defaultRowHeight="15" x14ac:dyDescent="0.25"/>
  <cols>
    <col min="1" max="1" width="37.85546875" customWidth="1"/>
    <col min="16" max="16" width="11.42578125" customWidth="1"/>
    <col min="22" max="22" width="8.85546875" style="55"/>
  </cols>
  <sheetData>
    <row r="1" spans="1:22" ht="32.25" customHeight="1" x14ac:dyDescent="0.25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22" ht="33.75" customHeight="1" thickBot="1" x14ac:dyDescent="0.3">
      <c r="O2" s="14" t="s">
        <v>1</v>
      </c>
      <c r="P2" s="15"/>
      <c r="Q2" s="16"/>
    </row>
    <row r="3" spans="1:22" ht="38.25" customHeight="1" thickTop="1" thickBot="1" x14ac:dyDescent="0.3">
      <c r="A3" s="3" t="s">
        <v>2</v>
      </c>
      <c r="B3" s="12"/>
      <c r="C3" s="12"/>
      <c r="D3" s="12"/>
      <c r="E3" s="12"/>
      <c r="F3" s="12"/>
      <c r="G3" s="12"/>
      <c r="H3" s="12"/>
      <c r="I3" s="12"/>
      <c r="J3" s="12"/>
      <c r="K3" s="4"/>
      <c r="L3" s="4"/>
      <c r="M3" s="4"/>
      <c r="N3" s="4"/>
      <c r="O3" s="5"/>
      <c r="P3" s="11"/>
      <c r="Q3" s="6"/>
      <c r="S3" s="56" t="s">
        <v>40</v>
      </c>
      <c r="T3" s="57"/>
      <c r="U3" s="58"/>
      <c r="V3" s="65">
        <v>0</v>
      </c>
    </row>
    <row r="4" spans="1:22" ht="43.5" customHeight="1" thickTop="1" x14ac:dyDescent="0.25">
      <c r="A4" s="3" t="s">
        <v>3</v>
      </c>
      <c r="B4" s="12"/>
      <c r="C4" s="12"/>
      <c r="D4" s="12"/>
      <c r="E4" s="12"/>
      <c r="F4" s="12"/>
      <c r="G4" s="12"/>
      <c r="H4" s="12"/>
      <c r="I4" s="12"/>
      <c r="J4" s="12"/>
      <c r="K4" s="4"/>
      <c r="L4" s="4"/>
      <c r="M4" s="4"/>
      <c r="N4" s="4"/>
      <c r="O4" s="5"/>
      <c r="P4" s="7"/>
      <c r="Q4" s="6"/>
      <c r="S4" s="56" t="s">
        <v>41</v>
      </c>
      <c r="T4" s="57"/>
      <c r="U4" s="58"/>
      <c r="V4" s="65">
        <v>0</v>
      </c>
    </row>
    <row r="5" spans="1:22" ht="43.5" customHeight="1" x14ac:dyDescent="0.25">
      <c r="A5" s="3" t="s">
        <v>4</v>
      </c>
      <c r="B5" s="12">
        <v>0</v>
      </c>
      <c r="C5" s="12"/>
      <c r="D5" s="12"/>
      <c r="E5" s="12"/>
      <c r="F5" s="12"/>
      <c r="G5" s="12"/>
      <c r="H5" s="12"/>
      <c r="I5" s="12"/>
      <c r="J5" s="12"/>
      <c r="K5" s="4"/>
      <c r="L5" s="4"/>
      <c r="M5" s="4"/>
      <c r="N5" s="4"/>
      <c r="O5" s="8"/>
      <c r="P5" s="9"/>
      <c r="Q5" s="10"/>
    </row>
    <row r="6" spans="1:22" ht="27.95" customHeight="1" thickBot="1" x14ac:dyDescent="0.3"/>
    <row r="7" spans="1:22" ht="35.1" customHeight="1" thickBot="1" x14ac:dyDescent="0.3">
      <c r="A7" s="29" t="s">
        <v>5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30"/>
    </row>
    <row r="8" spans="1:22" x14ac:dyDescent="0.25">
      <c r="A8" s="95" t="s">
        <v>6</v>
      </c>
      <c r="B8" s="96"/>
      <c r="C8" s="96"/>
      <c r="D8" s="96"/>
      <c r="E8" s="96"/>
      <c r="F8" s="96"/>
      <c r="G8" s="96" t="s">
        <v>7</v>
      </c>
      <c r="H8" s="96"/>
      <c r="I8" s="96"/>
      <c r="J8" s="96" t="s">
        <v>8</v>
      </c>
      <c r="K8" s="96"/>
      <c r="L8" s="96"/>
      <c r="M8" s="96" t="s">
        <v>5</v>
      </c>
      <c r="N8" s="96"/>
      <c r="O8" s="126"/>
    </row>
    <row r="9" spans="1:22" x14ac:dyDescent="0.25">
      <c r="A9" s="127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9"/>
    </row>
    <row r="10" spans="1:22" ht="21" x14ac:dyDescent="0.25">
      <c r="A10" s="142" t="s">
        <v>9</v>
      </c>
      <c r="B10" s="143"/>
      <c r="C10" s="143"/>
      <c r="D10" s="143"/>
      <c r="E10" s="143"/>
      <c r="F10" s="143"/>
      <c r="G10" s="144">
        <v>5</v>
      </c>
      <c r="H10" s="144"/>
      <c r="I10" s="144"/>
      <c r="J10" s="139"/>
      <c r="K10" s="139"/>
      <c r="L10" s="139"/>
      <c r="M10" s="140" t="str">
        <f t="shared" ref="M10:M33" si="0">IF(OR(J10="",J10=0),"0 €",IF(G10="","0 €",G10*J10))</f>
        <v>0 €</v>
      </c>
      <c r="N10" s="140"/>
      <c r="O10" s="141"/>
    </row>
    <row r="11" spans="1:22" ht="21" x14ac:dyDescent="0.25">
      <c r="A11" s="23" t="s">
        <v>10</v>
      </c>
      <c r="B11" s="24"/>
      <c r="C11" s="24"/>
      <c r="D11" s="24"/>
      <c r="E11" s="24"/>
      <c r="F11" s="25"/>
      <c r="G11" s="26">
        <v>5</v>
      </c>
      <c r="H11" s="27"/>
      <c r="I11" s="28"/>
      <c r="J11" s="20"/>
      <c r="K11" s="20"/>
      <c r="L11" s="20"/>
      <c r="M11" s="21" t="str">
        <f t="shared" si="0"/>
        <v>0 €</v>
      </c>
      <c r="N11" s="21"/>
      <c r="O11" s="22"/>
    </row>
    <row r="12" spans="1:22" ht="21" x14ac:dyDescent="0.25">
      <c r="A12" s="142" t="s">
        <v>11</v>
      </c>
      <c r="B12" s="143"/>
      <c r="C12" s="143"/>
      <c r="D12" s="143"/>
      <c r="E12" s="143"/>
      <c r="F12" s="143"/>
      <c r="G12" s="144">
        <v>4</v>
      </c>
      <c r="H12" s="144"/>
      <c r="I12" s="144"/>
      <c r="J12" s="139"/>
      <c r="K12" s="139"/>
      <c r="L12" s="139"/>
      <c r="M12" s="140" t="str">
        <f t="shared" si="0"/>
        <v>0 €</v>
      </c>
      <c r="N12" s="140"/>
      <c r="O12" s="141"/>
    </row>
    <row r="13" spans="1:22" ht="21" x14ac:dyDescent="0.25">
      <c r="A13" s="17" t="s">
        <v>12</v>
      </c>
      <c r="B13" s="18"/>
      <c r="C13" s="18"/>
      <c r="D13" s="18"/>
      <c r="E13" s="18"/>
      <c r="F13" s="18"/>
      <c r="G13" s="19">
        <v>4</v>
      </c>
      <c r="H13" s="19"/>
      <c r="I13" s="19"/>
      <c r="J13" s="20"/>
      <c r="K13" s="20"/>
      <c r="L13" s="20"/>
      <c r="M13" s="21" t="str">
        <f t="shared" si="0"/>
        <v>0 €</v>
      </c>
      <c r="N13" s="21"/>
      <c r="O13" s="22"/>
    </row>
    <row r="14" spans="1:22" ht="21" x14ac:dyDescent="0.25">
      <c r="A14" s="148" t="s">
        <v>13</v>
      </c>
      <c r="B14" s="149"/>
      <c r="C14" s="149"/>
      <c r="D14" s="149"/>
      <c r="E14" s="149"/>
      <c r="F14" s="150"/>
      <c r="G14" s="145">
        <v>2.5</v>
      </c>
      <c r="H14" s="146"/>
      <c r="I14" s="147"/>
      <c r="J14" s="139"/>
      <c r="K14" s="139"/>
      <c r="L14" s="139"/>
      <c r="M14" s="140" t="str">
        <f t="shared" si="0"/>
        <v>0 €</v>
      </c>
      <c r="N14" s="140"/>
      <c r="O14" s="141"/>
    </row>
    <row r="15" spans="1:22" ht="21" x14ac:dyDescent="0.25">
      <c r="A15" s="17" t="s">
        <v>14</v>
      </c>
      <c r="B15" s="18"/>
      <c r="C15" s="18"/>
      <c r="D15" s="18"/>
      <c r="E15" s="18"/>
      <c r="F15" s="18"/>
      <c r="G15" s="26">
        <v>2.5</v>
      </c>
      <c r="H15" s="27"/>
      <c r="I15" s="28"/>
      <c r="J15" s="20"/>
      <c r="K15" s="20"/>
      <c r="L15" s="20"/>
      <c r="M15" s="21" t="str">
        <f t="shared" si="0"/>
        <v>0 €</v>
      </c>
      <c r="N15" s="21"/>
      <c r="O15" s="22"/>
    </row>
    <row r="16" spans="1:22" ht="21" x14ac:dyDescent="0.25">
      <c r="A16" s="142" t="s">
        <v>15</v>
      </c>
      <c r="B16" s="143"/>
      <c r="C16" s="143"/>
      <c r="D16" s="143"/>
      <c r="E16" s="143"/>
      <c r="F16" s="143"/>
      <c r="G16" s="145">
        <v>2.5</v>
      </c>
      <c r="H16" s="146"/>
      <c r="I16" s="147"/>
      <c r="J16" s="139"/>
      <c r="K16" s="139"/>
      <c r="L16" s="139"/>
      <c r="M16" s="140" t="str">
        <f t="shared" si="0"/>
        <v>0 €</v>
      </c>
      <c r="N16" s="140"/>
      <c r="O16" s="141"/>
    </row>
    <row r="17" spans="1:15" ht="21" x14ac:dyDescent="0.25">
      <c r="A17" s="17" t="s">
        <v>16</v>
      </c>
      <c r="B17" s="18"/>
      <c r="C17" s="18"/>
      <c r="D17" s="18"/>
      <c r="E17" s="18"/>
      <c r="F17" s="18"/>
      <c r="G17" s="26">
        <v>2.5</v>
      </c>
      <c r="H17" s="27"/>
      <c r="I17" s="28"/>
      <c r="J17" s="20"/>
      <c r="K17" s="20"/>
      <c r="L17" s="20"/>
      <c r="M17" s="21" t="str">
        <f t="shared" si="0"/>
        <v>0 €</v>
      </c>
      <c r="N17" s="21"/>
      <c r="O17" s="22"/>
    </row>
    <row r="18" spans="1:15" ht="21" x14ac:dyDescent="0.25">
      <c r="A18" s="142" t="s">
        <v>17</v>
      </c>
      <c r="B18" s="143"/>
      <c r="C18" s="143"/>
      <c r="D18" s="143"/>
      <c r="E18" s="143"/>
      <c r="F18" s="143"/>
      <c r="G18" s="145">
        <v>2.5</v>
      </c>
      <c r="H18" s="146"/>
      <c r="I18" s="147"/>
      <c r="J18" s="139"/>
      <c r="K18" s="139"/>
      <c r="L18" s="139"/>
      <c r="M18" s="140" t="str">
        <f t="shared" si="0"/>
        <v>0 €</v>
      </c>
      <c r="N18" s="140"/>
      <c r="O18" s="141"/>
    </row>
    <row r="19" spans="1:15" ht="21" x14ac:dyDescent="0.25">
      <c r="A19" s="17" t="s">
        <v>18</v>
      </c>
      <c r="B19" s="18"/>
      <c r="C19" s="18"/>
      <c r="D19" s="18"/>
      <c r="E19" s="18"/>
      <c r="F19" s="18"/>
      <c r="G19" s="26">
        <v>2.5</v>
      </c>
      <c r="H19" s="27"/>
      <c r="I19" s="28"/>
      <c r="J19" s="20"/>
      <c r="K19" s="20"/>
      <c r="L19" s="20"/>
      <c r="M19" s="21" t="str">
        <f t="shared" ref="M19" si="1">IF(OR(J19="",J19=0),"0 €",IF(G19="","0 €",G19*J19))</f>
        <v>0 €</v>
      </c>
      <c r="N19" s="21"/>
      <c r="O19" s="22"/>
    </row>
    <row r="20" spans="1:15" ht="21" x14ac:dyDescent="0.25">
      <c r="A20" s="148" t="s">
        <v>19</v>
      </c>
      <c r="B20" s="149"/>
      <c r="C20" s="149"/>
      <c r="D20" s="149"/>
      <c r="E20" s="149"/>
      <c r="F20" s="150"/>
      <c r="G20" s="145">
        <v>2.5</v>
      </c>
      <c r="H20" s="146"/>
      <c r="I20" s="147"/>
      <c r="J20" s="139"/>
      <c r="K20" s="139"/>
      <c r="L20" s="139"/>
      <c r="M20" s="140" t="str">
        <f t="shared" si="0"/>
        <v>0 €</v>
      </c>
      <c r="N20" s="140"/>
      <c r="O20" s="141"/>
    </row>
    <row r="21" spans="1:15" ht="21" x14ac:dyDescent="0.25">
      <c r="A21" s="17" t="s">
        <v>20</v>
      </c>
      <c r="B21" s="18"/>
      <c r="C21" s="18"/>
      <c r="D21" s="18"/>
      <c r="E21" s="18"/>
      <c r="F21" s="18"/>
      <c r="G21" s="26">
        <v>2.5</v>
      </c>
      <c r="H21" s="27"/>
      <c r="I21" s="28"/>
      <c r="J21" s="20"/>
      <c r="K21" s="20"/>
      <c r="L21" s="20"/>
      <c r="M21" s="21" t="str">
        <f t="shared" si="0"/>
        <v>0 €</v>
      </c>
      <c r="N21" s="21"/>
      <c r="O21" s="22"/>
    </row>
    <row r="22" spans="1:15" ht="21" x14ac:dyDescent="0.25">
      <c r="A22" s="142" t="s">
        <v>21</v>
      </c>
      <c r="B22" s="143"/>
      <c r="C22" s="143"/>
      <c r="D22" s="143"/>
      <c r="E22" s="143"/>
      <c r="F22" s="143"/>
      <c r="G22" s="145">
        <v>2.5</v>
      </c>
      <c r="H22" s="146"/>
      <c r="I22" s="147"/>
      <c r="J22" s="139"/>
      <c r="K22" s="139"/>
      <c r="L22" s="139"/>
      <c r="M22" s="140" t="str">
        <f t="shared" si="0"/>
        <v>0 €</v>
      </c>
      <c r="N22" s="140"/>
      <c r="O22" s="141"/>
    </row>
    <row r="23" spans="1:15" ht="21" x14ac:dyDescent="0.25">
      <c r="A23" s="17" t="s">
        <v>22</v>
      </c>
      <c r="B23" s="18"/>
      <c r="C23" s="18"/>
      <c r="D23" s="18"/>
      <c r="E23" s="18"/>
      <c r="F23" s="18"/>
      <c r="G23" s="26">
        <v>2.5</v>
      </c>
      <c r="H23" s="27"/>
      <c r="I23" s="28"/>
      <c r="J23" s="20"/>
      <c r="K23" s="20"/>
      <c r="L23" s="20"/>
      <c r="M23" s="21" t="str">
        <f t="shared" si="0"/>
        <v>0 €</v>
      </c>
      <c r="N23" s="21"/>
      <c r="O23" s="22"/>
    </row>
    <row r="24" spans="1:15" ht="21" x14ac:dyDescent="0.25">
      <c r="A24" s="142" t="s">
        <v>23</v>
      </c>
      <c r="B24" s="143"/>
      <c r="C24" s="143"/>
      <c r="D24" s="143"/>
      <c r="E24" s="143"/>
      <c r="F24" s="143"/>
      <c r="G24" s="145">
        <v>2.5</v>
      </c>
      <c r="H24" s="146"/>
      <c r="I24" s="147"/>
      <c r="J24" s="139"/>
      <c r="K24" s="139"/>
      <c r="L24" s="139"/>
      <c r="M24" s="140" t="str">
        <f t="shared" si="0"/>
        <v>0 €</v>
      </c>
      <c r="N24" s="140"/>
      <c r="O24" s="141"/>
    </row>
    <row r="25" spans="1:15" ht="21" x14ac:dyDescent="0.25">
      <c r="A25" s="17" t="s">
        <v>24</v>
      </c>
      <c r="B25" s="18"/>
      <c r="C25" s="18"/>
      <c r="D25" s="18"/>
      <c r="E25" s="18"/>
      <c r="F25" s="18"/>
      <c r="G25" s="26">
        <v>2.5</v>
      </c>
      <c r="H25" s="27"/>
      <c r="I25" s="28"/>
      <c r="J25" s="20"/>
      <c r="K25" s="20"/>
      <c r="L25" s="20"/>
      <c r="M25" s="21" t="str">
        <f t="shared" si="0"/>
        <v>0 €</v>
      </c>
      <c r="N25" s="21"/>
      <c r="O25" s="22"/>
    </row>
    <row r="26" spans="1:15" ht="21" x14ac:dyDescent="0.25">
      <c r="A26" s="142" t="s">
        <v>25</v>
      </c>
      <c r="B26" s="143"/>
      <c r="C26" s="143"/>
      <c r="D26" s="143"/>
      <c r="E26" s="143"/>
      <c r="F26" s="143"/>
      <c r="G26" s="144">
        <v>3.5</v>
      </c>
      <c r="H26" s="144"/>
      <c r="I26" s="144"/>
      <c r="J26" s="139"/>
      <c r="K26" s="139"/>
      <c r="L26" s="139"/>
      <c r="M26" s="140" t="str">
        <f t="shared" si="0"/>
        <v>0 €</v>
      </c>
      <c r="N26" s="140"/>
      <c r="O26" s="141"/>
    </row>
    <row r="27" spans="1:15" ht="21" x14ac:dyDescent="0.25">
      <c r="A27" s="17" t="s">
        <v>26</v>
      </c>
      <c r="B27" s="18"/>
      <c r="C27" s="18"/>
      <c r="D27" s="18"/>
      <c r="E27" s="18"/>
      <c r="F27" s="18"/>
      <c r="G27" s="19">
        <v>3.5</v>
      </c>
      <c r="H27" s="19"/>
      <c r="I27" s="19"/>
      <c r="J27" s="20"/>
      <c r="K27" s="20"/>
      <c r="L27" s="20"/>
      <c r="M27" s="21" t="str">
        <f t="shared" si="0"/>
        <v>0 €</v>
      </c>
      <c r="N27" s="21"/>
      <c r="O27" s="22"/>
    </row>
    <row r="28" spans="1:15" ht="21" x14ac:dyDescent="0.25">
      <c r="A28" s="142" t="s">
        <v>27</v>
      </c>
      <c r="B28" s="143"/>
      <c r="C28" s="143"/>
      <c r="D28" s="143"/>
      <c r="E28" s="143"/>
      <c r="F28" s="143"/>
      <c r="G28" s="144">
        <v>3.5</v>
      </c>
      <c r="H28" s="144"/>
      <c r="I28" s="144"/>
      <c r="J28" s="139"/>
      <c r="K28" s="139"/>
      <c r="L28" s="139"/>
      <c r="M28" s="140" t="str">
        <f t="shared" si="0"/>
        <v>0 €</v>
      </c>
      <c r="N28" s="140"/>
      <c r="O28" s="141"/>
    </row>
    <row r="29" spans="1:15" ht="21" x14ac:dyDescent="0.25">
      <c r="A29" s="17" t="s">
        <v>28</v>
      </c>
      <c r="B29" s="18"/>
      <c r="C29" s="18"/>
      <c r="D29" s="18"/>
      <c r="E29" s="18"/>
      <c r="F29" s="18"/>
      <c r="G29" s="19">
        <v>3.5</v>
      </c>
      <c r="H29" s="19"/>
      <c r="I29" s="19"/>
      <c r="J29" s="20"/>
      <c r="K29" s="20"/>
      <c r="L29" s="20"/>
      <c r="M29" s="21" t="str">
        <f t="shared" si="0"/>
        <v>0 €</v>
      </c>
      <c r="N29" s="21"/>
      <c r="O29" s="22"/>
    </row>
    <row r="30" spans="1:15" ht="21" x14ac:dyDescent="0.25">
      <c r="A30" s="142" t="s">
        <v>29</v>
      </c>
      <c r="B30" s="143"/>
      <c r="C30" s="143"/>
      <c r="D30" s="143"/>
      <c r="E30" s="143"/>
      <c r="F30" s="143"/>
      <c r="G30" s="144">
        <v>22</v>
      </c>
      <c r="H30" s="144"/>
      <c r="I30" s="144"/>
      <c r="J30" s="139"/>
      <c r="K30" s="139"/>
      <c r="L30" s="139"/>
      <c r="M30" s="140" t="str">
        <f t="shared" si="0"/>
        <v>0 €</v>
      </c>
      <c r="N30" s="140"/>
      <c r="O30" s="141"/>
    </row>
    <row r="31" spans="1:15" ht="21" x14ac:dyDescent="0.25">
      <c r="A31" s="17" t="s">
        <v>30</v>
      </c>
      <c r="B31" s="18"/>
      <c r="C31" s="18"/>
      <c r="D31" s="18"/>
      <c r="E31" s="18"/>
      <c r="F31" s="18"/>
      <c r="G31" s="19">
        <v>18</v>
      </c>
      <c r="H31" s="19"/>
      <c r="I31" s="19"/>
      <c r="J31" s="20"/>
      <c r="K31" s="20"/>
      <c r="L31" s="20"/>
      <c r="M31" s="21" t="str">
        <f t="shared" si="0"/>
        <v>0 €</v>
      </c>
      <c r="N31" s="21"/>
      <c r="O31" s="22"/>
    </row>
    <row r="32" spans="1:15" ht="21" x14ac:dyDescent="0.25">
      <c r="A32" s="142" t="s">
        <v>31</v>
      </c>
      <c r="B32" s="143"/>
      <c r="C32" s="143"/>
      <c r="D32" s="143"/>
      <c r="E32" s="143"/>
      <c r="F32" s="143"/>
      <c r="G32" s="144">
        <v>18</v>
      </c>
      <c r="H32" s="144"/>
      <c r="I32" s="144"/>
      <c r="J32" s="139"/>
      <c r="K32" s="139"/>
      <c r="L32" s="139"/>
      <c r="M32" s="140" t="str">
        <f t="shared" si="0"/>
        <v>0 €</v>
      </c>
      <c r="N32" s="140"/>
      <c r="O32" s="141"/>
    </row>
    <row r="33" spans="1:15" ht="21" x14ac:dyDescent="0.25">
      <c r="A33" s="17" t="s">
        <v>32</v>
      </c>
      <c r="B33" s="18"/>
      <c r="C33" s="18"/>
      <c r="D33" s="18"/>
      <c r="E33" s="18"/>
      <c r="F33" s="18"/>
      <c r="G33" s="19">
        <v>2.5</v>
      </c>
      <c r="H33" s="19"/>
      <c r="I33" s="19"/>
      <c r="J33" s="20"/>
      <c r="K33" s="20"/>
      <c r="L33" s="20"/>
      <c r="M33" s="21" t="str">
        <f t="shared" si="0"/>
        <v>0 €</v>
      </c>
      <c r="N33" s="21"/>
      <c r="O33" s="22"/>
    </row>
    <row r="34" spans="1:15" ht="21" x14ac:dyDescent="0.25">
      <c r="A34" s="142"/>
      <c r="B34" s="143"/>
      <c r="C34" s="143"/>
      <c r="D34" s="143"/>
      <c r="E34" s="143"/>
      <c r="F34" s="143"/>
      <c r="G34" s="144"/>
      <c r="H34" s="144"/>
      <c r="I34" s="144"/>
      <c r="J34" s="139"/>
      <c r="K34" s="139"/>
      <c r="L34" s="139"/>
      <c r="M34" s="140" t="str">
        <f>IF(OR(J34="",J34=0),"0 €",IF(G34="","0 €",G34*J34))</f>
        <v>0 €</v>
      </c>
      <c r="N34" s="140"/>
      <c r="O34" s="141"/>
    </row>
    <row r="35" spans="1:15" ht="21" x14ac:dyDescent="0.25">
      <c r="A35" s="34" t="str">
        <f>"Tombola, 1 voor " &amp; G35 &amp; " €"</f>
        <v>Tombola, 1 voor 3 €</v>
      </c>
      <c r="B35" s="35"/>
      <c r="C35" s="35"/>
      <c r="D35" s="35"/>
      <c r="E35" s="35"/>
      <c r="F35" s="35"/>
      <c r="G35" s="36">
        <v>3</v>
      </c>
      <c r="H35" s="36"/>
      <c r="I35" s="36"/>
      <c r="J35" s="37"/>
      <c r="K35" s="37"/>
      <c r="L35" s="37"/>
      <c r="M35" s="21" t="str">
        <f t="shared" ref="M35" si="2">IF(OR(J35="",J35=0),"0 €",IF(G35="","0 €",G35*J35))</f>
        <v>0 €</v>
      </c>
      <c r="N35" s="21"/>
      <c r="O35" s="22"/>
    </row>
    <row r="36" spans="1:15" ht="21" x14ac:dyDescent="0.25">
      <c r="A36" s="136"/>
      <c r="B36" s="137"/>
      <c r="C36" s="137"/>
      <c r="D36" s="137"/>
      <c r="E36" s="137"/>
      <c r="F36" s="137"/>
      <c r="G36" s="138"/>
      <c r="H36" s="138"/>
      <c r="I36" s="138"/>
      <c r="J36" s="139"/>
      <c r="K36" s="139"/>
      <c r="L36" s="139"/>
      <c r="M36" s="140"/>
      <c r="N36" s="140"/>
      <c r="O36" s="141"/>
    </row>
    <row r="37" spans="1:15" ht="35.1" customHeight="1" thickBot="1" x14ac:dyDescent="0.3">
      <c r="A37" s="31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3"/>
    </row>
    <row r="38" spans="1:15" ht="15" customHeight="1" x14ac:dyDescent="0.25">
      <c r="A38" s="113" t="s">
        <v>5</v>
      </c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5"/>
      <c r="M38" s="130">
        <f>SUM(M10:O36)</f>
        <v>0</v>
      </c>
      <c r="N38" s="131"/>
      <c r="O38" s="132"/>
    </row>
    <row r="39" spans="1:15" ht="15.75" customHeight="1" thickBot="1" x14ac:dyDescent="0.3">
      <c r="A39" s="116"/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8"/>
      <c r="M39" s="133"/>
      <c r="N39" s="134"/>
      <c r="O39" s="135"/>
    </row>
  </sheetData>
  <sheetProtection sheet="1" objects="1" scenarios="1"/>
  <protectedRanges>
    <protectedRange sqref="J10:L37" name="Bereik1_1_3"/>
  </protectedRanges>
  <mergeCells count="124">
    <mergeCell ref="S3:U3"/>
    <mergeCell ref="S4:U4"/>
    <mergeCell ref="A38:L39"/>
    <mergeCell ref="M38:O39"/>
    <mergeCell ref="A7:O7"/>
    <mergeCell ref="A36:F36"/>
    <mergeCell ref="G36:I36"/>
    <mergeCell ref="J36:L36"/>
    <mergeCell ref="M36:O36"/>
    <mergeCell ref="A37:I37"/>
    <mergeCell ref="J37:O37"/>
    <mergeCell ref="A34:F34"/>
    <mergeCell ref="G34:I34"/>
    <mergeCell ref="J34:L34"/>
    <mergeCell ref="A35:F35"/>
    <mergeCell ref="G35:I35"/>
    <mergeCell ref="J35:L35"/>
    <mergeCell ref="M35:O35"/>
    <mergeCell ref="A33:F33"/>
    <mergeCell ref="G33:I33"/>
    <mergeCell ref="J33:L33"/>
    <mergeCell ref="M33:O33"/>
    <mergeCell ref="M34:O34"/>
    <mergeCell ref="A31:F31"/>
    <mergeCell ref="G31:I31"/>
    <mergeCell ref="J31:L31"/>
    <mergeCell ref="M31:O31"/>
    <mergeCell ref="A32:F32"/>
    <mergeCell ref="G32:I32"/>
    <mergeCell ref="J32:L32"/>
    <mergeCell ref="M32:O32"/>
    <mergeCell ref="A29:F29"/>
    <mergeCell ref="G29:I29"/>
    <mergeCell ref="J29:L29"/>
    <mergeCell ref="M29:O29"/>
    <mergeCell ref="A30:F30"/>
    <mergeCell ref="G30:I30"/>
    <mergeCell ref="J30:L30"/>
    <mergeCell ref="M30:O30"/>
    <mergeCell ref="A27:F27"/>
    <mergeCell ref="G27:I27"/>
    <mergeCell ref="J27:L27"/>
    <mergeCell ref="M27:O27"/>
    <mergeCell ref="A28:F28"/>
    <mergeCell ref="G28:I28"/>
    <mergeCell ref="J28:L28"/>
    <mergeCell ref="M28:O28"/>
    <mergeCell ref="A25:F25"/>
    <mergeCell ref="G25:I25"/>
    <mergeCell ref="J25:L25"/>
    <mergeCell ref="M25:O25"/>
    <mergeCell ref="A26:F26"/>
    <mergeCell ref="G26:I26"/>
    <mergeCell ref="J26:L26"/>
    <mergeCell ref="M26:O26"/>
    <mergeCell ref="A23:F23"/>
    <mergeCell ref="G23:I23"/>
    <mergeCell ref="J23:L23"/>
    <mergeCell ref="M23:O23"/>
    <mergeCell ref="A24:F24"/>
    <mergeCell ref="G24:I24"/>
    <mergeCell ref="J24:L24"/>
    <mergeCell ref="M24:O24"/>
    <mergeCell ref="A21:F21"/>
    <mergeCell ref="G21:I21"/>
    <mergeCell ref="J21:L21"/>
    <mergeCell ref="M21:O21"/>
    <mergeCell ref="A22:F22"/>
    <mergeCell ref="G22:I22"/>
    <mergeCell ref="J22:L22"/>
    <mergeCell ref="M22:O22"/>
    <mergeCell ref="A20:F20"/>
    <mergeCell ref="G20:I20"/>
    <mergeCell ref="J20:L20"/>
    <mergeCell ref="M20:O20"/>
    <mergeCell ref="A17:F17"/>
    <mergeCell ref="G17:I17"/>
    <mergeCell ref="J17:L17"/>
    <mergeCell ref="M17:O17"/>
    <mergeCell ref="A18:F18"/>
    <mergeCell ref="G18:I18"/>
    <mergeCell ref="J18:L18"/>
    <mergeCell ref="M18:O18"/>
    <mergeCell ref="A16:F16"/>
    <mergeCell ref="G16:I16"/>
    <mergeCell ref="J16:L16"/>
    <mergeCell ref="M16:O16"/>
    <mergeCell ref="A14:F14"/>
    <mergeCell ref="G14:I14"/>
    <mergeCell ref="J14:L14"/>
    <mergeCell ref="M14:O14"/>
    <mergeCell ref="A19:F19"/>
    <mergeCell ref="G19:I19"/>
    <mergeCell ref="J19:L19"/>
    <mergeCell ref="M19:O19"/>
    <mergeCell ref="A15:F15"/>
    <mergeCell ref="G15:I15"/>
    <mergeCell ref="J15:L15"/>
    <mergeCell ref="M15:O15"/>
    <mergeCell ref="A13:F13"/>
    <mergeCell ref="G13:I13"/>
    <mergeCell ref="J13:L13"/>
    <mergeCell ref="M13:O13"/>
    <mergeCell ref="A11:F11"/>
    <mergeCell ref="G11:I11"/>
    <mergeCell ref="J11:L11"/>
    <mergeCell ref="M11:O11"/>
    <mergeCell ref="A12:F12"/>
    <mergeCell ref="G12:I12"/>
    <mergeCell ref="J12:L12"/>
    <mergeCell ref="M12:O12"/>
    <mergeCell ref="B3:J3"/>
    <mergeCell ref="B4:J4"/>
    <mergeCell ref="B5:J5"/>
    <mergeCell ref="A1:O1"/>
    <mergeCell ref="A8:F9"/>
    <mergeCell ref="G8:I9"/>
    <mergeCell ref="J8:L9"/>
    <mergeCell ref="M8:O9"/>
    <mergeCell ref="A10:F10"/>
    <mergeCell ref="G10:I10"/>
    <mergeCell ref="J10:L10"/>
    <mergeCell ref="M10:O10"/>
    <mergeCell ref="O2:Q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py_sheet" altText="Pas de configuratie hiernaast aan en creëer nieuwe werkbladen">
                <anchor moveWithCells="1" sizeWithCells="1">
                  <from>
                    <xdr:col>11</xdr:col>
                    <xdr:colOff>19050</xdr:colOff>
                    <xdr:row>1</xdr:row>
                    <xdr:rowOff>238125</xdr:rowOff>
                  </from>
                  <to>
                    <xdr:col>13</xdr:col>
                    <xdr:colOff>209550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reset" altText="Maak ongedaan (reset)">
                <anchor moveWithCells="1" sizeWithCells="1">
                  <from>
                    <xdr:col>11</xdr:col>
                    <xdr:colOff>9525</xdr:colOff>
                    <xdr:row>4</xdr:row>
                    <xdr:rowOff>114300</xdr:rowOff>
                  </from>
                  <to>
                    <xdr:col>13</xdr:col>
                    <xdr:colOff>200025</xdr:colOff>
                    <xdr:row>4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extra" altText="Voeg extra werkbladen toe">
                <anchor moveWithCells="1" sizeWithCells="1">
                  <from>
                    <xdr:col>11</xdr:col>
                    <xdr:colOff>9525</xdr:colOff>
                    <xdr:row>2</xdr:row>
                    <xdr:rowOff>390525</xdr:rowOff>
                  </from>
                  <to>
                    <xdr:col>13</xdr:col>
                    <xdr:colOff>200025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ToSheet">
                <anchor moveWithCells="1" sizeWithCells="1">
                  <from>
                    <xdr:col>15</xdr:col>
                    <xdr:colOff>28575</xdr:colOff>
                    <xdr:row>3</xdr:row>
                    <xdr:rowOff>104775</xdr:rowOff>
                  </from>
                  <to>
                    <xdr:col>15</xdr:col>
                    <xdr:colOff>752475</xdr:colOff>
                    <xdr:row>3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5C5A-3425-46C6-961C-7F6DE751FBF8}">
  <sheetPr codeName="Blad132"/>
  <dimension ref="B1:Q48"/>
  <sheetViews>
    <sheetView zoomScale="72" zoomScaleNormal="72" workbookViewId="0">
      <selection activeCell="D4" sqref="D4:M5"/>
    </sheetView>
  </sheetViews>
  <sheetFormatPr defaultColWidth="9.140625" defaultRowHeight="15" x14ac:dyDescent="0.25"/>
  <cols>
    <col min="1" max="1" width="3.140625" customWidth="1"/>
    <col min="2" max="5" width="6.7109375" customWidth="1"/>
  </cols>
  <sheetData>
    <row r="1" spans="2:17" x14ac:dyDescent="0.25">
      <c r="B1" s="74" t="str">
        <f>Totaal!B3 &amp; " " &amp;Totaal!B4</f>
        <v xml:space="preserve"> </v>
      </c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6"/>
    </row>
    <row r="2" spans="2:17" x14ac:dyDescent="0.25">
      <c r="B2" s="77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9"/>
    </row>
    <row r="3" spans="2:17" ht="15.75" thickBot="1" x14ac:dyDescent="0.3"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2"/>
    </row>
    <row r="4" spans="2:17" ht="15" customHeight="1" x14ac:dyDescent="0.25">
      <c r="B4" s="83" t="s">
        <v>33</v>
      </c>
      <c r="C4" s="84"/>
      <c r="D4" s="85"/>
      <c r="E4" s="86"/>
      <c r="F4" s="86"/>
      <c r="G4" s="86"/>
      <c r="H4" s="86"/>
      <c r="I4" s="86"/>
      <c r="J4" s="86"/>
      <c r="K4" s="86"/>
      <c r="L4" s="86"/>
      <c r="M4" s="87"/>
      <c r="N4" s="88"/>
      <c r="O4" s="88"/>
      <c r="P4" s="84"/>
    </row>
    <row r="5" spans="2:17" ht="15.75" customHeight="1" thickBot="1" x14ac:dyDescent="0.3">
      <c r="B5" s="89"/>
      <c r="C5" s="90"/>
      <c r="D5" s="91"/>
      <c r="E5" s="92"/>
      <c r="F5" s="92"/>
      <c r="G5" s="92"/>
      <c r="H5" s="92"/>
      <c r="I5" s="92"/>
      <c r="J5" s="92"/>
      <c r="K5" s="92"/>
      <c r="L5" s="92"/>
      <c r="M5" s="93"/>
      <c r="N5" s="94"/>
      <c r="O5" s="94"/>
      <c r="P5" s="90"/>
    </row>
    <row r="6" spans="2:17" ht="15" customHeight="1" x14ac:dyDescent="0.25">
      <c r="B6" s="83" t="s">
        <v>34</v>
      </c>
      <c r="C6" s="88"/>
      <c r="D6" s="88"/>
      <c r="E6" s="84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1"/>
    </row>
    <row r="7" spans="2:17" ht="15.75" customHeight="1" thickBot="1" x14ac:dyDescent="0.3">
      <c r="B7" s="89"/>
      <c r="C7" s="94"/>
      <c r="D7" s="94"/>
      <c r="E7" s="90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1"/>
    </row>
    <row r="8" spans="2:17" x14ac:dyDescent="0.25">
      <c r="B8" s="95" t="s">
        <v>6</v>
      </c>
      <c r="C8" s="96"/>
      <c r="D8" s="96"/>
      <c r="E8" s="96"/>
      <c r="F8" s="96"/>
      <c r="G8" s="96"/>
      <c r="H8" s="96" t="s">
        <v>7</v>
      </c>
      <c r="I8" s="96"/>
      <c r="J8" s="96"/>
      <c r="K8" s="96" t="s">
        <v>8</v>
      </c>
      <c r="L8" s="96"/>
      <c r="M8" s="96"/>
      <c r="N8" s="96" t="s">
        <v>5</v>
      </c>
      <c r="O8" s="96"/>
      <c r="P8" s="97"/>
      <c r="Q8" s="1"/>
    </row>
    <row r="9" spans="2:17" x14ac:dyDescent="0.25">
      <c r="B9" s="98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100"/>
    </row>
    <row r="10" spans="2:17" ht="21" x14ac:dyDescent="0.25">
      <c r="B10" s="101" t="str">
        <f>IF(Totaal!A10="","",Totaal!A10)</f>
        <v>Glas Cava</v>
      </c>
      <c r="C10" s="102"/>
      <c r="D10" s="102"/>
      <c r="E10" s="102"/>
      <c r="F10" s="102"/>
      <c r="G10" s="102"/>
      <c r="H10" s="103">
        <f>IF(Totaal!G10="","",Totaal!G10)</f>
        <v>5</v>
      </c>
      <c r="I10" s="103"/>
      <c r="J10" s="103"/>
      <c r="K10" s="104"/>
      <c r="L10" s="104"/>
      <c r="M10" s="104"/>
      <c r="N10" s="105" t="str">
        <f>IF(OR(H10="",K10="",K10=0),"",H10*K10)</f>
        <v/>
      </c>
      <c r="O10" s="105" t="str">
        <f t="shared" ref="O10:P10" si="0">IF(OR(L10="",L10=0),"",I10*L10)</f>
        <v/>
      </c>
      <c r="P10" s="106" t="str">
        <f t="shared" si="0"/>
        <v/>
      </c>
    </row>
    <row r="11" spans="2:17" ht="21" x14ac:dyDescent="0.25">
      <c r="B11" s="46" t="str">
        <f>IF(Totaal!A11="","",Totaal!A11)</f>
        <v xml:space="preserve">Aperitief Close-Up </v>
      </c>
      <c r="C11" s="47"/>
      <c r="D11" s="47"/>
      <c r="E11" s="47"/>
      <c r="F11" s="47"/>
      <c r="G11" s="47"/>
      <c r="H11" s="48">
        <f>IF(Totaal!G11="","",Totaal!G11)</f>
        <v>5</v>
      </c>
      <c r="I11" s="48"/>
      <c r="J11" s="48"/>
      <c r="K11" s="52"/>
      <c r="L11" s="53"/>
      <c r="M11" s="54"/>
      <c r="N11" s="50" t="str">
        <f t="shared" ref="N11:N36" si="1">IF(OR(H11="",K11="",K11=0),"",H11*K11)</f>
        <v/>
      </c>
      <c r="O11" s="50" t="str">
        <f t="shared" ref="O11:O36" si="2">IF(OR(L11="",L11=0),"",I11*L11)</f>
        <v/>
      </c>
      <c r="P11" s="51" t="str">
        <f t="shared" ref="P11:P36" si="3">IF(OR(M11="",M11=0),"",J11*M11)</f>
        <v/>
      </c>
    </row>
    <row r="12" spans="2:17" ht="21" x14ac:dyDescent="0.25">
      <c r="B12" s="101" t="str">
        <f>IF(Totaal!A12="","",Totaal!A12)</f>
        <v>Glas witte wijn</v>
      </c>
      <c r="C12" s="102"/>
      <c r="D12" s="102"/>
      <c r="E12" s="102"/>
      <c r="F12" s="102"/>
      <c r="G12" s="102"/>
      <c r="H12" s="103">
        <f>IF(Totaal!G12="","",Totaal!G12)</f>
        <v>4</v>
      </c>
      <c r="I12" s="103"/>
      <c r="J12" s="103"/>
      <c r="K12" s="104"/>
      <c r="L12" s="104"/>
      <c r="M12" s="104"/>
      <c r="N12" s="105" t="str">
        <f t="shared" si="1"/>
        <v/>
      </c>
      <c r="O12" s="105" t="str">
        <f t="shared" si="2"/>
        <v/>
      </c>
      <c r="P12" s="106" t="str">
        <f t="shared" si="3"/>
        <v/>
      </c>
    </row>
    <row r="13" spans="2:17" ht="21" x14ac:dyDescent="0.25">
      <c r="B13" s="46" t="str">
        <f>IF(Totaal!A13="","",Totaal!A13)</f>
        <v>Glas rode wijn</v>
      </c>
      <c r="C13" s="47"/>
      <c r="D13" s="47"/>
      <c r="E13" s="47"/>
      <c r="F13" s="47"/>
      <c r="G13" s="47"/>
      <c r="H13" s="48">
        <f>IF(Totaal!G13="","",Totaal!G13)</f>
        <v>4</v>
      </c>
      <c r="I13" s="48"/>
      <c r="J13" s="48"/>
      <c r="K13" s="49"/>
      <c r="L13" s="49"/>
      <c r="M13" s="49"/>
      <c r="N13" s="50" t="str">
        <f t="shared" si="1"/>
        <v/>
      </c>
      <c r="O13" s="50" t="str">
        <f t="shared" si="2"/>
        <v/>
      </c>
      <c r="P13" s="51" t="str">
        <f t="shared" si="3"/>
        <v/>
      </c>
    </row>
    <row r="14" spans="2:17" ht="21" x14ac:dyDescent="0.25">
      <c r="B14" s="101" t="str">
        <f>IF(Totaal!A14="","",Totaal!A14)</f>
        <v>Fruitsap</v>
      </c>
      <c r="C14" s="102"/>
      <c r="D14" s="102"/>
      <c r="E14" s="102"/>
      <c r="F14" s="102"/>
      <c r="G14" s="102"/>
      <c r="H14" s="103">
        <f>IF(Totaal!G14="","",Totaal!G14)</f>
        <v>2.5</v>
      </c>
      <c r="I14" s="103"/>
      <c r="J14" s="103"/>
      <c r="K14" s="104"/>
      <c r="L14" s="104"/>
      <c r="M14" s="104"/>
      <c r="N14" s="105" t="str">
        <f t="shared" si="1"/>
        <v/>
      </c>
      <c r="O14" s="105" t="str">
        <f t="shared" si="2"/>
        <v/>
      </c>
      <c r="P14" s="106" t="str">
        <f t="shared" si="3"/>
        <v/>
      </c>
    </row>
    <row r="15" spans="2:17" ht="21" x14ac:dyDescent="0.25">
      <c r="B15" s="46" t="str">
        <f>IF(Totaal!A15="","",Totaal!A15)</f>
        <v>Plat water</v>
      </c>
      <c r="C15" s="47"/>
      <c r="D15" s="47"/>
      <c r="E15" s="47"/>
      <c r="F15" s="47"/>
      <c r="G15" s="47"/>
      <c r="H15" s="48">
        <f>IF(Totaal!G15="","",Totaal!G15)</f>
        <v>2.5</v>
      </c>
      <c r="I15" s="48"/>
      <c r="J15" s="48"/>
      <c r="K15" s="49"/>
      <c r="L15" s="49"/>
      <c r="M15" s="49"/>
      <c r="N15" s="50" t="str">
        <f t="shared" si="1"/>
        <v/>
      </c>
      <c r="O15" s="50" t="str">
        <f t="shared" si="2"/>
        <v/>
      </c>
      <c r="P15" s="51" t="str">
        <f t="shared" si="3"/>
        <v/>
      </c>
    </row>
    <row r="16" spans="2:17" ht="21" x14ac:dyDescent="0.25">
      <c r="B16" s="101" t="str">
        <f>IF(Totaal!A16="","",Totaal!A16)</f>
        <v>Bruisend water</v>
      </c>
      <c r="C16" s="102"/>
      <c r="D16" s="102"/>
      <c r="E16" s="102"/>
      <c r="F16" s="102"/>
      <c r="G16" s="102"/>
      <c r="H16" s="103">
        <f>IF(Totaal!G16="","",Totaal!G16)</f>
        <v>2.5</v>
      </c>
      <c r="I16" s="103"/>
      <c r="J16" s="103"/>
      <c r="K16" s="104"/>
      <c r="L16" s="104"/>
      <c r="M16" s="104"/>
      <c r="N16" s="105" t="str">
        <f t="shared" si="1"/>
        <v/>
      </c>
      <c r="O16" s="105" t="str">
        <f t="shared" si="2"/>
        <v/>
      </c>
      <c r="P16" s="106" t="str">
        <f t="shared" si="3"/>
        <v/>
      </c>
    </row>
    <row r="17" spans="2:16" ht="21" x14ac:dyDescent="0.25">
      <c r="B17" s="46" t="str">
        <f>IF(Totaal!A17="","",Totaal!A17)</f>
        <v>Cola</v>
      </c>
      <c r="C17" s="47"/>
      <c r="D17" s="47"/>
      <c r="E17" s="47"/>
      <c r="F17" s="47"/>
      <c r="G17" s="47"/>
      <c r="H17" s="48">
        <f>IF(Totaal!G17="","",Totaal!G17)</f>
        <v>2.5</v>
      </c>
      <c r="I17" s="48"/>
      <c r="J17" s="48"/>
      <c r="K17" s="49"/>
      <c r="L17" s="49"/>
      <c r="M17" s="49"/>
      <c r="N17" s="50" t="str">
        <f t="shared" si="1"/>
        <v/>
      </c>
      <c r="O17" s="50" t="str">
        <f t="shared" si="2"/>
        <v/>
      </c>
      <c r="P17" s="51" t="str">
        <f t="shared" si="3"/>
        <v/>
      </c>
    </row>
    <row r="18" spans="2:16" ht="21" x14ac:dyDescent="0.25">
      <c r="B18" s="101" t="str">
        <f>IF(Totaal!A18="","",Totaal!A18)</f>
        <v>Cola Zero</v>
      </c>
      <c r="C18" s="102"/>
      <c r="D18" s="102"/>
      <c r="E18" s="102"/>
      <c r="F18" s="102"/>
      <c r="G18" s="102"/>
      <c r="H18" s="103">
        <f>IF(Totaal!G18="","",Totaal!G18)</f>
        <v>2.5</v>
      </c>
      <c r="I18" s="103"/>
      <c r="J18" s="103"/>
      <c r="K18" s="104"/>
      <c r="L18" s="104"/>
      <c r="M18" s="104"/>
      <c r="N18" s="105" t="str">
        <f t="shared" si="1"/>
        <v/>
      </c>
      <c r="O18" s="105" t="str">
        <f t="shared" si="2"/>
        <v/>
      </c>
      <c r="P18" s="106" t="str">
        <f t="shared" si="3"/>
        <v/>
      </c>
    </row>
    <row r="19" spans="2:16" ht="21" x14ac:dyDescent="0.25">
      <c r="B19" s="46" t="str">
        <f>IF(Totaal!A19="","",Totaal!A19)</f>
        <v>Limonade</v>
      </c>
      <c r="C19" s="47"/>
      <c r="D19" s="47"/>
      <c r="E19" s="47"/>
      <c r="F19" s="47"/>
      <c r="G19" s="47"/>
      <c r="H19" s="48">
        <f>IF(Totaal!G19="","",Totaal!G19)</f>
        <v>2.5</v>
      </c>
      <c r="I19" s="48"/>
      <c r="J19" s="48"/>
      <c r="K19" s="49"/>
      <c r="L19" s="49"/>
      <c r="M19" s="49"/>
      <c r="N19" s="50" t="str">
        <f t="shared" si="1"/>
        <v/>
      </c>
      <c r="O19" s="50" t="str">
        <f t="shared" si="2"/>
        <v/>
      </c>
      <c r="P19" s="51" t="str">
        <f t="shared" si="3"/>
        <v/>
      </c>
    </row>
    <row r="20" spans="2:16" ht="21" x14ac:dyDescent="0.25">
      <c r="B20" s="101" t="str">
        <f>IF(Totaal!A20="","",Totaal!A20)</f>
        <v>Ice Tea</v>
      </c>
      <c r="C20" s="102"/>
      <c r="D20" s="102"/>
      <c r="E20" s="102"/>
      <c r="F20" s="102"/>
      <c r="G20" s="102"/>
      <c r="H20" s="103">
        <f>IF(Totaal!G20="","",Totaal!G20)</f>
        <v>2.5</v>
      </c>
      <c r="I20" s="103"/>
      <c r="J20" s="103"/>
      <c r="K20" s="104"/>
      <c r="L20" s="104"/>
      <c r="M20" s="104"/>
      <c r="N20" s="105" t="str">
        <f t="shared" si="1"/>
        <v/>
      </c>
      <c r="O20" s="105" t="str">
        <f t="shared" si="2"/>
        <v/>
      </c>
      <c r="P20" s="106" t="str">
        <f t="shared" si="3"/>
        <v/>
      </c>
    </row>
    <row r="21" spans="2:16" ht="21" x14ac:dyDescent="0.25">
      <c r="B21" s="46" t="str">
        <f>IF(Totaal!A21="","",Totaal!A21)</f>
        <v>Schweppes tonic</v>
      </c>
      <c r="C21" s="47"/>
      <c r="D21" s="47"/>
      <c r="E21" s="47"/>
      <c r="F21" s="47"/>
      <c r="G21" s="47"/>
      <c r="H21" s="48">
        <f>IF(Totaal!G21="","",Totaal!G21)</f>
        <v>2.5</v>
      </c>
      <c r="I21" s="48"/>
      <c r="J21" s="48"/>
      <c r="K21" s="49"/>
      <c r="L21" s="49"/>
      <c r="M21" s="49"/>
      <c r="N21" s="50" t="str">
        <f t="shared" si="1"/>
        <v/>
      </c>
      <c r="O21" s="50" t="str">
        <f t="shared" si="2"/>
        <v/>
      </c>
      <c r="P21" s="51" t="str">
        <f t="shared" si="3"/>
        <v/>
      </c>
    </row>
    <row r="22" spans="2:16" ht="21" x14ac:dyDescent="0.25">
      <c r="B22" s="101" t="str">
        <f>IF(Totaal!A22="","",Totaal!A22)</f>
        <v>Pils Jupiler</v>
      </c>
      <c r="C22" s="102"/>
      <c r="D22" s="102"/>
      <c r="E22" s="102"/>
      <c r="F22" s="102"/>
      <c r="G22" s="102"/>
      <c r="H22" s="103">
        <f>IF(Totaal!G22="","",Totaal!G22)</f>
        <v>2.5</v>
      </c>
      <c r="I22" s="103"/>
      <c r="J22" s="103"/>
      <c r="K22" s="104"/>
      <c r="L22" s="104"/>
      <c r="M22" s="104"/>
      <c r="N22" s="105" t="str">
        <f t="shared" si="1"/>
        <v/>
      </c>
      <c r="O22" s="105" t="str">
        <f t="shared" si="2"/>
        <v/>
      </c>
      <c r="P22" s="106" t="str">
        <f t="shared" si="3"/>
        <v/>
      </c>
    </row>
    <row r="23" spans="2:16" ht="21" x14ac:dyDescent="0.25">
      <c r="B23" s="46" t="str">
        <f>IF(Totaal!A23="","",Totaal!A23)</f>
        <v>Jupiler 0,0%</v>
      </c>
      <c r="C23" s="47"/>
      <c r="D23" s="47"/>
      <c r="E23" s="47"/>
      <c r="F23" s="47"/>
      <c r="G23" s="47"/>
      <c r="H23" s="48">
        <f>IF(Totaal!G23="","",Totaal!G23)</f>
        <v>2.5</v>
      </c>
      <c r="I23" s="48"/>
      <c r="J23" s="48"/>
      <c r="K23" s="49"/>
      <c r="L23" s="49"/>
      <c r="M23" s="49"/>
      <c r="N23" s="50" t="str">
        <f t="shared" si="1"/>
        <v/>
      </c>
      <c r="O23" s="50" t="str">
        <f t="shared" si="2"/>
        <v/>
      </c>
      <c r="P23" s="51" t="str">
        <f t="shared" si="3"/>
        <v/>
      </c>
    </row>
    <row r="24" spans="2:16" ht="21" x14ac:dyDescent="0.25">
      <c r="B24" s="101" t="str">
        <f>IF(Totaal!A24="","",Totaal!A24)</f>
        <v>Kriek Lindemans</v>
      </c>
      <c r="C24" s="102"/>
      <c r="D24" s="102"/>
      <c r="E24" s="102"/>
      <c r="F24" s="102"/>
      <c r="G24" s="102"/>
      <c r="H24" s="103">
        <f>IF(Totaal!G24="","",Totaal!G24)</f>
        <v>2.5</v>
      </c>
      <c r="I24" s="103"/>
      <c r="J24" s="103"/>
      <c r="K24" s="104"/>
      <c r="L24" s="104"/>
      <c r="M24" s="104"/>
      <c r="N24" s="105" t="str">
        <f t="shared" si="1"/>
        <v/>
      </c>
      <c r="O24" s="105" t="str">
        <f t="shared" si="2"/>
        <v/>
      </c>
      <c r="P24" s="106" t="str">
        <f t="shared" si="3"/>
        <v/>
      </c>
    </row>
    <row r="25" spans="2:16" ht="21" x14ac:dyDescent="0.25">
      <c r="B25" s="46" t="str">
        <f>IF(Totaal!A25="","",Totaal!A25)</f>
        <v>Adriaan brouwer</v>
      </c>
      <c r="C25" s="47"/>
      <c r="D25" s="47"/>
      <c r="E25" s="47"/>
      <c r="F25" s="47"/>
      <c r="G25" s="47"/>
      <c r="H25" s="48">
        <f>IF(Totaal!G25="","",Totaal!G25)</f>
        <v>2.5</v>
      </c>
      <c r="I25" s="48"/>
      <c r="J25" s="48"/>
      <c r="K25" s="49"/>
      <c r="L25" s="49"/>
      <c r="M25" s="49"/>
      <c r="N25" s="50" t="str">
        <f t="shared" si="1"/>
        <v/>
      </c>
      <c r="O25" s="50" t="str">
        <f t="shared" si="2"/>
        <v/>
      </c>
      <c r="P25" s="51" t="str">
        <f t="shared" si="3"/>
        <v/>
      </c>
    </row>
    <row r="26" spans="2:16" ht="21" x14ac:dyDescent="0.25">
      <c r="B26" s="101" t="str">
        <f>IF(Totaal!A26="","",Totaal!A26)</f>
        <v>Ename blond</v>
      </c>
      <c r="C26" s="102"/>
      <c r="D26" s="102"/>
      <c r="E26" s="102"/>
      <c r="F26" s="102"/>
      <c r="G26" s="102"/>
      <c r="H26" s="103">
        <f>IF(Totaal!G26="","",Totaal!G26)</f>
        <v>3.5</v>
      </c>
      <c r="I26" s="103"/>
      <c r="J26" s="103"/>
      <c r="K26" s="104"/>
      <c r="L26" s="104"/>
      <c r="M26" s="104"/>
      <c r="N26" s="105" t="str">
        <f t="shared" si="1"/>
        <v/>
      </c>
      <c r="O26" s="105" t="str">
        <f t="shared" si="2"/>
        <v/>
      </c>
      <c r="P26" s="106" t="str">
        <f t="shared" si="3"/>
        <v/>
      </c>
    </row>
    <row r="27" spans="2:16" ht="21" x14ac:dyDescent="0.25">
      <c r="B27" s="46" t="str">
        <f>IF(Totaal!A27="","",Totaal!A27)</f>
        <v>Ename bruin</v>
      </c>
      <c r="C27" s="47"/>
      <c r="D27" s="47"/>
      <c r="E27" s="47"/>
      <c r="F27" s="47"/>
      <c r="G27" s="47"/>
      <c r="H27" s="48">
        <f>IF(Totaal!G27="","",Totaal!G27)</f>
        <v>3.5</v>
      </c>
      <c r="I27" s="48"/>
      <c r="J27" s="48"/>
      <c r="K27" s="49"/>
      <c r="L27" s="49"/>
      <c r="M27" s="49"/>
      <c r="N27" s="50" t="str">
        <f t="shared" si="1"/>
        <v/>
      </c>
      <c r="O27" s="50" t="str">
        <f t="shared" si="2"/>
        <v/>
      </c>
      <c r="P27" s="51" t="str">
        <f t="shared" si="3"/>
        <v/>
      </c>
    </row>
    <row r="28" spans="2:16" ht="21" x14ac:dyDescent="0.25">
      <c r="B28" s="101" t="str">
        <f>IF(Totaal!A28="","",Totaal!A28)</f>
        <v>Quintine blond</v>
      </c>
      <c r="C28" s="102"/>
      <c r="D28" s="102"/>
      <c r="E28" s="102"/>
      <c r="F28" s="102"/>
      <c r="G28" s="102"/>
      <c r="H28" s="103">
        <f>IF(Totaal!G28="","",Totaal!G28)</f>
        <v>3.5</v>
      </c>
      <c r="I28" s="103"/>
      <c r="J28" s="103"/>
      <c r="K28" s="104"/>
      <c r="L28" s="104"/>
      <c r="M28" s="104"/>
      <c r="N28" s="105" t="str">
        <f t="shared" si="1"/>
        <v/>
      </c>
      <c r="O28" s="105" t="str">
        <f t="shared" si="2"/>
        <v/>
      </c>
      <c r="P28" s="106" t="str">
        <f t="shared" si="3"/>
        <v/>
      </c>
    </row>
    <row r="29" spans="2:16" ht="21" x14ac:dyDescent="0.25">
      <c r="B29" s="46" t="str">
        <f>IF(Totaal!A29="","",Totaal!A29)</f>
        <v>Rebelse Strop</v>
      </c>
      <c r="C29" s="47"/>
      <c r="D29" s="47"/>
      <c r="E29" s="47"/>
      <c r="F29" s="47"/>
      <c r="G29" s="47"/>
      <c r="H29" s="48">
        <f>IF(Totaal!G29="","",Totaal!G29)</f>
        <v>3.5</v>
      </c>
      <c r="I29" s="48"/>
      <c r="J29" s="48"/>
      <c r="K29" s="52"/>
      <c r="L29" s="53"/>
      <c r="M29" s="54"/>
      <c r="N29" s="50" t="str">
        <f t="shared" si="1"/>
        <v/>
      </c>
      <c r="O29" s="50" t="str">
        <f t="shared" si="2"/>
        <v/>
      </c>
      <c r="P29" s="51" t="str">
        <f t="shared" si="3"/>
        <v/>
      </c>
    </row>
    <row r="30" spans="2:16" ht="21" x14ac:dyDescent="0.25">
      <c r="B30" s="101" t="str">
        <f>IF(Totaal!A30="","",Totaal!A30)</f>
        <v>Fles cava</v>
      </c>
      <c r="C30" s="102"/>
      <c r="D30" s="102"/>
      <c r="E30" s="102"/>
      <c r="F30" s="102"/>
      <c r="G30" s="102"/>
      <c r="H30" s="103">
        <f>IF(Totaal!G30="","",Totaal!G30)</f>
        <v>22</v>
      </c>
      <c r="I30" s="103"/>
      <c r="J30" s="103"/>
      <c r="K30" s="104"/>
      <c r="L30" s="104"/>
      <c r="M30" s="104"/>
      <c r="N30" s="105" t="str">
        <f t="shared" si="1"/>
        <v/>
      </c>
      <c r="O30" s="105" t="str">
        <f t="shared" si="2"/>
        <v/>
      </c>
      <c r="P30" s="106" t="str">
        <f t="shared" si="3"/>
        <v/>
      </c>
    </row>
    <row r="31" spans="2:16" ht="21" x14ac:dyDescent="0.25">
      <c r="B31" s="46" t="str">
        <f>IF(Totaal!A31="","",Totaal!A31)</f>
        <v>Fles rode wijn</v>
      </c>
      <c r="C31" s="47"/>
      <c r="D31" s="47"/>
      <c r="E31" s="47"/>
      <c r="F31" s="47"/>
      <c r="G31" s="47"/>
      <c r="H31" s="48">
        <f>IF(Totaal!G31="","",Totaal!G31)</f>
        <v>18</v>
      </c>
      <c r="I31" s="48"/>
      <c r="J31" s="48"/>
      <c r="K31" s="52"/>
      <c r="L31" s="53"/>
      <c r="M31" s="54"/>
      <c r="N31" s="50" t="str">
        <f t="shared" si="1"/>
        <v/>
      </c>
      <c r="O31" s="50" t="str">
        <f t="shared" si="2"/>
        <v/>
      </c>
      <c r="P31" s="51" t="str">
        <f t="shared" si="3"/>
        <v/>
      </c>
    </row>
    <row r="32" spans="2:16" ht="21" x14ac:dyDescent="0.25">
      <c r="B32" s="101" t="str">
        <f>IF(Totaal!A32="","",Totaal!A32)</f>
        <v>Fles Witte wijn</v>
      </c>
      <c r="C32" s="102"/>
      <c r="D32" s="102"/>
      <c r="E32" s="102"/>
      <c r="F32" s="102"/>
      <c r="G32" s="102"/>
      <c r="H32" s="103">
        <f>IF(Totaal!G32="","",Totaal!G32)</f>
        <v>18</v>
      </c>
      <c r="I32" s="103"/>
      <c r="J32" s="103"/>
      <c r="K32" s="104"/>
      <c r="L32" s="104"/>
      <c r="M32" s="104"/>
      <c r="N32" s="105" t="str">
        <f t="shared" si="1"/>
        <v/>
      </c>
      <c r="O32" s="105" t="str">
        <f t="shared" si="2"/>
        <v/>
      </c>
      <c r="P32" s="106" t="str">
        <f t="shared" si="3"/>
        <v/>
      </c>
    </row>
    <row r="33" spans="2:16" ht="21" x14ac:dyDescent="0.25">
      <c r="B33" s="46" t="str">
        <f>IF(Totaal!A33="","",Totaal!A33)</f>
        <v>Koffie/thee</v>
      </c>
      <c r="C33" s="47"/>
      <c r="D33" s="47"/>
      <c r="E33" s="47"/>
      <c r="F33" s="47"/>
      <c r="G33" s="47"/>
      <c r="H33" s="48">
        <f>IF(Totaal!G33="","",Totaal!G33)</f>
        <v>2.5</v>
      </c>
      <c r="I33" s="48"/>
      <c r="J33" s="48"/>
      <c r="K33" s="49"/>
      <c r="L33" s="49"/>
      <c r="M33" s="49"/>
      <c r="N33" s="50" t="str">
        <f t="shared" si="1"/>
        <v/>
      </c>
      <c r="O33" s="50" t="str">
        <f t="shared" si="2"/>
        <v/>
      </c>
      <c r="P33" s="51" t="str">
        <f t="shared" si="3"/>
        <v/>
      </c>
    </row>
    <row r="34" spans="2:16" ht="21" x14ac:dyDescent="0.25">
      <c r="B34" s="101" t="str">
        <f>IF(Totaal!A34="","",Totaal!A34)</f>
        <v/>
      </c>
      <c r="C34" s="102"/>
      <c r="D34" s="102"/>
      <c r="E34" s="102"/>
      <c r="F34" s="102"/>
      <c r="G34" s="102"/>
      <c r="H34" s="103" t="str">
        <f>IF(Totaal!G34="","",Totaal!G34)</f>
        <v/>
      </c>
      <c r="I34" s="103"/>
      <c r="J34" s="103"/>
      <c r="K34" s="107"/>
      <c r="L34" s="108"/>
      <c r="M34" s="109"/>
      <c r="N34" s="105" t="str">
        <f t="shared" si="1"/>
        <v/>
      </c>
      <c r="O34" s="105" t="str">
        <f t="shared" si="2"/>
        <v/>
      </c>
      <c r="P34" s="106" t="str">
        <f t="shared" si="3"/>
        <v/>
      </c>
    </row>
    <row r="35" spans="2:16" ht="21" x14ac:dyDescent="0.25">
      <c r="B35" s="46" t="str">
        <f>IF(Totaal!A35="","",Totaal!A35)</f>
        <v>Tombola, 1 voor 3 €</v>
      </c>
      <c r="C35" s="47"/>
      <c r="D35" s="47"/>
      <c r="E35" s="47"/>
      <c r="F35" s="47"/>
      <c r="G35" s="47"/>
      <c r="H35" s="48">
        <f>IF(Totaal!G35="","",Totaal!G35)</f>
        <v>3</v>
      </c>
      <c r="I35" s="48"/>
      <c r="J35" s="48"/>
      <c r="K35" s="49"/>
      <c r="L35" s="49"/>
      <c r="M35" s="49"/>
      <c r="N35" s="50" t="str">
        <f t="shared" si="1"/>
        <v/>
      </c>
      <c r="O35" s="50" t="str">
        <f t="shared" si="2"/>
        <v/>
      </c>
      <c r="P35" s="51" t="str">
        <f t="shared" si="3"/>
        <v/>
      </c>
    </row>
    <row r="36" spans="2:16" ht="21" x14ac:dyDescent="0.25">
      <c r="B36" s="110"/>
      <c r="C36" s="111"/>
      <c r="D36" s="111"/>
      <c r="E36" s="111"/>
      <c r="F36" s="111"/>
      <c r="G36" s="111"/>
      <c r="H36" s="112"/>
      <c r="I36" s="112"/>
      <c r="J36" s="112"/>
      <c r="K36" s="104"/>
      <c r="L36" s="104"/>
      <c r="M36" s="104"/>
      <c r="N36" s="105" t="str">
        <f t="shared" si="1"/>
        <v/>
      </c>
      <c r="O36" s="105" t="str">
        <f t="shared" si="2"/>
        <v/>
      </c>
      <c r="P36" s="106" t="str">
        <f t="shared" si="3"/>
        <v/>
      </c>
    </row>
    <row r="37" spans="2:16" ht="0.95" customHeight="1" thickBot="1" x14ac:dyDescent="0.3">
      <c r="B37" s="31"/>
      <c r="C37" s="32"/>
      <c r="D37" s="32"/>
      <c r="E37" s="32"/>
      <c r="F37" s="32"/>
      <c r="G37" s="32"/>
      <c r="H37" s="32"/>
      <c r="I37" s="32"/>
      <c r="J37" s="32"/>
      <c r="K37" s="32">
        <v>1</v>
      </c>
      <c r="L37" s="32"/>
      <c r="M37" s="32"/>
      <c r="N37" s="32"/>
      <c r="O37" s="32"/>
      <c r="P37" s="33"/>
    </row>
    <row r="38" spans="2:16" x14ac:dyDescent="0.25">
      <c r="B38" s="113" t="s">
        <v>35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5"/>
      <c r="N38" s="119" t="str">
        <f>IF(SUM(N10:P36)&gt;0,SUM(N10:P36),"")</f>
        <v/>
      </c>
      <c r="O38" s="120"/>
      <c r="P38" s="121"/>
    </row>
    <row r="39" spans="2:16" ht="15.75" thickBot="1" x14ac:dyDescent="0.3">
      <c r="B39" s="116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8"/>
      <c r="N39" s="122"/>
      <c r="O39" s="123"/>
      <c r="P39" s="124"/>
    </row>
    <row r="40" spans="2:16" ht="15.75" thickBot="1" x14ac:dyDescent="0.3">
      <c r="P40" s="2"/>
    </row>
    <row r="41" spans="2:16" ht="15.75" thickBot="1" x14ac:dyDescent="0.3">
      <c r="B41" s="125" t="s">
        <v>36</v>
      </c>
      <c r="C41" s="125"/>
      <c r="D41" s="125"/>
      <c r="E41" s="125"/>
      <c r="F41" s="125"/>
      <c r="G41" s="125"/>
      <c r="H41" s="125"/>
      <c r="I41" s="125"/>
      <c r="J41" s="125"/>
    </row>
    <row r="42" spans="2:16" ht="15.75" thickBot="1" x14ac:dyDescent="0.3">
      <c r="B42" s="125"/>
      <c r="C42" s="125"/>
      <c r="D42" s="125"/>
      <c r="E42" s="125"/>
      <c r="F42" s="125"/>
      <c r="G42" s="125"/>
      <c r="H42" s="125"/>
      <c r="I42" s="125"/>
      <c r="J42" s="125"/>
    </row>
    <row r="43" spans="2:16" ht="15.75" customHeight="1" thickBot="1" x14ac:dyDescent="0.3">
      <c r="B43" s="40" t="s">
        <v>37</v>
      </c>
      <c r="C43" s="40"/>
      <c r="D43" s="40"/>
      <c r="E43" s="40"/>
      <c r="F43" s="43"/>
      <c r="G43" s="59"/>
      <c r="H43" s="60"/>
      <c r="I43" s="60"/>
      <c r="J43" s="61"/>
      <c r="K43" s="1"/>
    </row>
    <row r="44" spans="2:16" ht="15" customHeight="1" x14ac:dyDescent="0.25">
      <c r="B44" s="44"/>
      <c r="C44" s="44"/>
      <c r="D44" s="44"/>
      <c r="E44" s="44"/>
      <c r="F44" s="45"/>
      <c r="G44" s="62"/>
      <c r="H44" s="63"/>
      <c r="I44" s="63"/>
      <c r="J44" s="64"/>
      <c r="K44" s="1"/>
    </row>
    <row r="45" spans="2:16" ht="15.75" thickBot="1" x14ac:dyDescent="0.3">
      <c r="B45" s="38" t="s">
        <v>38</v>
      </c>
      <c r="C45" s="38"/>
      <c r="D45" s="38"/>
      <c r="E45" s="38"/>
      <c r="F45" s="39"/>
      <c r="G45" s="66" t="str">
        <f>N38</f>
        <v/>
      </c>
      <c r="H45" s="67"/>
      <c r="I45" s="67"/>
      <c r="J45" s="67"/>
    </row>
    <row r="46" spans="2:16" ht="15.75" thickBot="1" x14ac:dyDescent="0.3">
      <c r="B46" s="40"/>
      <c r="C46" s="40"/>
      <c r="D46" s="40"/>
      <c r="E46" s="40"/>
      <c r="F46" s="41"/>
      <c r="G46" s="68"/>
      <c r="H46" s="69"/>
      <c r="I46" s="69"/>
      <c r="J46" s="69"/>
    </row>
    <row r="47" spans="2:16" ht="15.75" customHeight="1" thickBot="1" x14ac:dyDescent="0.3">
      <c r="B47" s="42" t="s">
        <v>39</v>
      </c>
      <c r="C47" s="42"/>
      <c r="D47" s="42"/>
      <c r="E47" s="42"/>
      <c r="F47" s="42"/>
      <c r="G47" s="70">
        <f>IF(G43=0,0,G43-G45)</f>
        <v>0</v>
      </c>
      <c r="H47" s="70"/>
      <c r="I47" s="70"/>
      <c r="J47" s="71"/>
    </row>
    <row r="48" spans="2:16" ht="15.75" customHeight="1" thickBot="1" x14ac:dyDescent="0.3">
      <c r="B48" s="42"/>
      <c r="C48" s="42"/>
      <c r="D48" s="42"/>
      <c r="E48" s="42"/>
      <c r="F48" s="42"/>
      <c r="G48" s="72"/>
      <c r="H48" s="72"/>
      <c r="I48" s="72"/>
      <c r="J48" s="73"/>
    </row>
  </sheetData>
  <sheetProtection sheet="1" objects="1" scenarios="1"/>
  <mergeCells count="129">
    <mergeCell ref="B1:P3"/>
    <mergeCell ref="B4:C5"/>
    <mergeCell ref="D4:M5"/>
    <mergeCell ref="N4:P5"/>
    <mergeCell ref="B6:E7"/>
    <mergeCell ref="F6:P7"/>
    <mergeCell ref="B11:G11"/>
    <mergeCell ref="H11:J11"/>
    <mergeCell ref="K11:M11"/>
    <mergeCell ref="N11:P11"/>
    <mergeCell ref="B12:G12"/>
    <mergeCell ref="H12:J12"/>
    <mergeCell ref="K12:M12"/>
    <mergeCell ref="N12:P12"/>
    <mergeCell ref="B8:G9"/>
    <mergeCell ref="H8:J9"/>
    <mergeCell ref="K8:M9"/>
    <mergeCell ref="N8:P9"/>
    <mergeCell ref="B10:G10"/>
    <mergeCell ref="H10:J10"/>
    <mergeCell ref="K10:M10"/>
    <mergeCell ref="N10:P10"/>
    <mergeCell ref="B15:G15"/>
    <mergeCell ref="H15:J15"/>
    <mergeCell ref="K15:M15"/>
    <mergeCell ref="N15:P15"/>
    <mergeCell ref="B16:G16"/>
    <mergeCell ref="H16:J16"/>
    <mergeCell ref="K16:M16"/>
    <mergeCell ref="N16:P16"/>
    <mergeCell ref="B13:G13"/>
    <mergeCell ref="H13:J13"/>
    <mergeCell ref="K13:M13"/>
    <mergeCell ref="N13:P13"/>
    <mergeCell ref="B14:G14"/>
    <mergeCell ref="H14:J14"/>
    <mergeCell ref="K14:M14"/>
    <mergeCell ref="N14:P14"/>
    <mergeCell ref="B19:G19"/>
    <mergeCell ref="H19:J19"/>
    <mergeCell ref="K19:M19"/>
    <mergeCell ref="N19:P19"/>
    <mergeCell ref="B20:G20"/>
    <mergeCell ref="H20:J20"/>
    <mergeCell ref="K20:M20"/>
    <mergeCell ref="N20:P20"/>
    <mergeCell ref="B17:G17"/>
    <mergeCell ref="H17:J17"/>
    <mergeCell ref="K17:M17"/>
    <mergeCell ref="N17:P17"/>
    <mergeCell ref="B18:G18"/>
    <mergeCell ref="H18:J18"/>
    <mergeCell ref="K18:M18"/>
    <mergeCell ref="N18:P18"/>
    <mergeCell ref="B23:G23"/>
    <mergeCell ref="H23:J23"/>
    <mergeCell ref="K23:M23"/>
    <mergeCell ref="N23:P23"/>
    <mergeCell ref="B24:G24"/>
    <mergeCell ref="H24:J24"/>
    <mergeCell ref="K24:M24"/>
    <mergeCell ref="N24:P24"/>
    <mergeCell ref="B21:G21"/>
    <mergeCell ref="H21:J21"/>
    <mergeCell ref="K21:M21"/>
    <mergeCell ref="N21:P21"/>
    <mergeCell ref="B22:G22"/>
    <mergeCell ref="H22:J22"/>
    <mergeCell ref="K22:M22"/>
    <mergeCell ref="N22:P22"/>
    <mergeCell ref="B27:G27"/>
    <mergeCell ref="H27:J27"/>
    <mergeCell ref="K27:M27"/>
    <mergeCell ref="N27:P27"/>
    <mergeCell ref="B28:G28"/>
    <mergeCell ref="H28:J28"/>
    <mergeCell ref="K28:M28"/>
    <mergeCell ref="N28:P28"/>
    <mergeCell ref="B25:G25"/>
    <mergeCell ref="H25:J25"/>
    <mergeCell ref="K25:M25"/>
    <mergeCell ref="N25:P25"/>
    <mergeCell ref="B26:G26"/>
    <mergeCell ref="H26:J26"/>
    <mergeCell ref="K26:M26"/>
    <mergeCell ref="N26:P26"/>
    <mergeCell ref="B31:G31"/>
    <mergeCell ref="H31:J31"/>
    <mergeCell ref="K31:M31"/>
    <mergeCell ref="N31:P31"/>
    <mergeCell ref="B32:G32"/>
    <mergeCell ref="H32:J32"/>
    <mergeCell ref="K32:M32"/>
    <mergeCell ref="N32:P32"/>
    <mergeCell ref="B29:G29"/>
    <mergeCell ref="H29:J29"/>
    <mergeCell ref="K29:M29"/>
    <mergeCell ref="N29:P29"/>
    <mergeCell ref="B30:G30"/>
    <mergeCell ref="H30:J30"/>
    <mergeCell ref="K30:M30"/>
    <mergeCell ref="N30:P30"/>
    <mergeCell ref="B35:G35"/>
    <mergeCell ref="H35:J35"/>
    <mergeCell ref="K35:M35"/>
    <mergeCell ref="N35:P35"/>
    <mergeCell ref="B36:G36"/>
    <mergeCell ref="H36:J36"/>
    <mergeCell ref="K36:M36"/>
    <mergeCell ref="N36:P36"/>
    <mergeCell ref="B33:G33"/>
    <mergeCell ref="H33:J33"/>
    <mergeCell ref="K33:M33"/>
    <mergeCell ref="N33:P33"/>
    <mergeCell ref="B34:G34"/>
    <mergeCell ref="H34:J34"/>
    <mergeCell ref="K34:M34"/>
    <mergeCell ref="N34:P34"/>
    <mergeCell ref="B45:F46"/>
    <mergeCell ref="G45:J46"/>
    <mergeCell ref="B47:F48"/>
    <mergeCell ref="G47:J48"/>
    <mergeCell ref="B37:J37"/>
    <mergeCell ref="K37:P37"/>
    <mergeCell ref="B38:M39"/>
    <mergeCell ref="N38:P39"/>
    <mergeCell ref="B41:J42"/>
    <mergeCell ref="B43:F44"/>
    <mergeCell ref="G43:J4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NavToTotaal">
                <anchor moveWithCells="1" sizeWithCells="1">
                  <from>
                    <xdr:col>10</xdr:col>
                    <xdr:colOff>600075</xdr:colOff>
                    <xdr:row>39</xdr:row>
                    <xdr:rowOff>190500</xdr:rowOff>
                  </from>
                  <to>
                    <xdr:col>12</xdr:col>
                    <xdr:colOff>314325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NavToTotaal">
                <anchor moveWithCells="1" sizeWithCells="1">
                  <from>
                    <xdr:col>13</xdr:col>
                    <xdr:colOff>28575</xdr:colOff>
                    <xdr:row>0</xdr:row>
                    <xdr:rowOff>95250</xdr:rowOff>
                  </from>
                  <to>
                    <xdr:col>14</xdr:col>
                    <xdr:colOff>390525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Totaal</vt:lpstr>
      <vt:lpstr>Afrekening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B. Haustrate;K. Blom</dc:creator>
  <cp:keywords/>
  <dc:description/>
  <cp:lastModifiedBy>Kurt Blom</cp:lastModifiedBy>
  <cp:revision/>
  <dcterms:created xsi:type="dcterms:W3CDTF">2018-10-15T11:52:26Z</dcterms:created>
  <dcterms:modified xsi:type="dcterms:W3CDTF">2024-02-05T12:44:21Z</dcterms:modified>
  <cp:category/>
  <cp:contentStatus/>
</cp:coreProperties>
</file>